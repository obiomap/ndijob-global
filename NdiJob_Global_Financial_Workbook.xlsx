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ver" sheetId="2" state="visible" r:id="rId2"/>
    <sheet xmlns:r="http://schemas.openxmlformats.org/officeDocument/2006/relationships" name="Pledges" sheetId="3" state="visible" r:id="rId3"/>
    <sheet xmlns:r="http://schemas.openxmlformats.org/officeDocument/2006/relationships" name="Event Expenses" sheetId="4" state="visible" r:id="rId4"/>
    <sheet xmlns:r="http://schemas.openxmlformats.org/officeDocument/2006/relationships" name="Gifts from Invitees" sheetId="5" state="visible" r:id="rId5"/>
    <sheet xmlns:r="http://schemas.openxmlformats.org/officeDocument/2006/relationships" name="Post-Event Expenses" sheetId="6" state="visible" r:id="rId6"/>
    <sheet xmlns:r="http://schemas.openxmlformats.org/officeDocument/2006/relationships" name="Balanc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Calibri"/>
      <b val="1"/>
      <color rgb="00FFFFFF"/>
      <sz val="28"/>
    </font>
    <font>
      <name val="Calibri"/>
      <b val="1"/>
      <color rgb="00C9A84C"/>
      <sz val="14"/>
    </font>
    <font>
      <name val="Calibri"/>
      <i val="1"/>
      <color rgb="00AAAAAA"/>
      <sz val="10"/>
    </font>
    <font>
      <name val="Calibri"/>
      <b val="1"/>
      <color rgb="00FFFFFF"/>
      <sz val="11"/>
    </font>
    <font>
      <name val="Calibri"/>
      <color rgb="00FFFFFF"/>
      <sz val="11"/>
    </font>
    <font>
      <name val="Calibri"/>
      <b val="1"/>
      <color rgb="00FFFFFF"/>
      <sz val="15"/>
    </font>
    <font>
      <name val="Calibri"/>
      <i val="1"/>
      <color rgb="00CCCCCC"/>
      <sz val="10"/>
    </font>
    <font>
      <name val="Calibri"/>
      <b val="1"/>
      <color rgb="000D1F3C"/>
      <sz val="10"/>
    </font>
    <font>
      <name val="Calibri"/>
      <color rgb="00111111"/>
      <sz val="10"/>
    </font>
    <font>
      <name val="Calibri"/>
      <b val="1"/>
      <color rgb="0027AE60"/>
      <sz val="10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E67E22"/>
      <sz val="10"/>
    </font>
    <font>
      <name val="Calibri"/>
      <b val="1"/>
      <color rgb="00148F77"/>
      <sz val="10"/>
    </font>
    <font>
      <name val="Calibri"/>
      <b val="1"/>
      <color rgb="00FFFFFF"/>
      <sz val="14"/>
    </font>
    <font>
      <name val="Calibri"/>
      <color rgb="00000000"/>
      <sz val="11"/>
    </font>
    <font>
      <name val="Calibri"/>
      <b val="1"/>
      <color rgb="00111111"/>
      <sz val="10"/>
    </font>
    <font>
      <name val="Calibri"/>
      <b val="1"/>
      <i val="1"/>
      <color rgb="000D1F3C"/>
      <sz val="10"/>
    </font>
    <font>
      <name val="Calibri"/>
      <b val="1"/>
      <color rgb="00FFFFFF"/>
      <sz val="16"/>
    </font>
    <font>
      <name val="Calibri"/>
      <i val="1"/>
      <color rgb="000D1F3C"/>
      <sz val="10"/>
    </font>
    <font>
      <name val="Calibri"/>
      <b val="1"/>
      <color rgb="00FFFFFF"/>
      <sz val="22"/>
    </font>
    <font>
      <name val="Calibri"/>
      <b val="1"/>
      <color rgb="000D1F3C"/>
      <sz val="18"/>
    </font>
    <font>
      <name val="Calibri"/>
      <b val="1"/>
      <color rgb="00C9A84C"/>
      <sz val="18"/>
    </font>
    <font>
      <name val="Calibri"/>
      <b val="1"/>
      <color rgb="00C0392B"/>
      <sz val="18"/>
    </font>
    <font>
      <name val="Calibri"/>
      <b val="1"/>
      <color rgb="00148F77"/>
      <sz val="18"/>
    </font>
    <font>
      <name val="Calibri"/>
      <b val="1"/>
      <color rgb="006C3483"/>
      <sz val="18"/>
    </font>
    <font>
      <name val="Calibri"/>
      <b val="1"/>
      <color rgb="001A5C2E"/>
      <sz val="18"/>
    </font>
    <font>
      <name val="Calibri"/>
      <b val="1"/>
      <color rgb="00E67E22"/>
      <sz val="18"/>
    </font>
    <font>
      <name val="Calibri"/>
      <b val="1"/>
      <color rgb="0027AE60"/>
      <sz val="18"/>
    </font>
    <font>
      <name val="Calibri"/>
      <color rgb="00111111"/>
      <sz val="9"/>
    </font>
    <font>
      <name val="Calibri"/>
      <b val="1"/>
      <color rgb="00111111"/>
      <sz val="9"/>
    </font>
    <font>
      <name val="Calibri"/>
      <i val="1"/>
      <color rgb="00AAAAAA"/>
      <sz val="9"/>
    </font>
    <font>
      <name val="Calibri"/>
      <b val="1"/>
      <i val="1"/>
      <color rgb="000D1F3C"/>
      <sz val="9"/>
    </font>
  </fonts>
  <fills count="17">
    <fill>
      <patternFill/>
    </fill>
    <fill>
      <patternFill patternType="gray125"/>
    </fill>
    <fill>
      <patternFill patternType="solid">
        <fgColor rgb="001A5C2E"/>
      </patternFill>
    </fill>
    <fill>
      <patternFill patternType="solid">
        <fgColor rgb="000D1F3C"/>
      </patternFill>
    </fill>
    <fill>
      <patternFill patternType="solid">
        <fgColor rgb="00C0392B"/>
      </patternFill>
    </fill>
    <fill>
      <patternFill patternType="solid">
        <fgColor rgb="006C3483"/>
      </patternFill>
    </fill>
    <fill>
      <patternFill patternType="solid">
        <fgColor rgb="00E67E22"/>
      </patternFill>
    </fill>
    <fill>
      <patternFill patternType="solid">
        <fgColor rgb="00148F77"/>
      </patternFill>
    </fill>
    <fill>
      <patternFill patternType="solid">
        <fgColor rgb="00C9A84C"/>
      </patternFill>
    </fill>
    <fill>
      <patternFill patternType="solid">
        <fgColor rgb="00F2F4F7"/>
      </patternFill>
    </fill>
    <fill>
      <patternFill patternType="solid">
        <fgColor rgb="00FFFFFF"/>
      </patternFill>
    </fill>
    <fill>
      <patternFill patternType="solid">
        <fgColor rgb="0027AE60"/>
      </patternFill>
    </fill>
    <fill>
      <patternFill patternType="solid">
        <fgColor rgb="00FFF3CD"/>
      </patternFill>
    </fill>
    <fill>
      <patternFill patternType="solid">
        <fgColor rgb="008B0000"/>
      </patternFill>
    </fill>
    <fill>
      <patternFill patternType="solid">
        <fgColor rgb="00884A00"/>
      </patternFill>
    </fill>
    <fill>
      <patternFill patternType="solid">
        <fgColor rgb="00EBF5FB"/>
      </patternFill>
    </fill>
    <fill>
      <patternFill patternType="solid">
        <fgColor rgb="007D6608"/>
      </patternFill>
    </fill>
  </fills>
  <borders count="1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0D1F3C"/>
      </left>
      <right style="medium">
        <color rgb="000D1F3C"/>
      </right>
      <top style="medium">
        <color rgb="000D1F3C"/>
      </top>
      <bottom style="medium">
        <color rgb="000D1F3C"/>
      </bottom>
    </border>
    <border>
      <left style="medium">
        <color rgb="000D1F3C"/>
      </left>
      <right style="medium">
        <color rgb="000D1F3C"/>
      </right>
      <top style="medium">
        <color rgb="000D1F3C"/>
      </top>
    </border>
    <border>
      <left style="medium">
        <color rgb="000D1F3C"/>
      </left>
      <right style="medium">
        <color rgb="000D1F3C"/>
      </right>
      <bottom style="medium">
        <color rgb="000D1F3C"/>
      </bottom>
    </border>
    <border>
      <left/>
      <right style="medium">
        <color rgb="000D1F3C"/>
      </right>
      <top/>
      <bottom/>
      <diagonal/>
    </border>
    <border>
      <left/>
      <right/>
      <top/>
      <bottom style="medium">
        <color rgb="000D1F3C"/>
      </bottom>
      <diagonal/>
    </border>
    <border>
      <left/>
      <right style="medium">
        <color rgb="000D1F3C"/>
      </right>
      <top/>
      <bottom style="medium">
        <color rgb="000D1F3C"/>
      </bottom>
      <diagonal/>
    </border>
    <border>
      <left/>
      <right/>
      <top style="medium">
        <color rgb="000D1F3C"/>
      </top>
      <bottom/>
      <diagonal/>
    </border>
    <border>
      <left/>
      <right style="medium">
        <color rgb="000D1F3C"/>
      </right>
      <top style="medium">
        <color rgb="000D1F3C"/>
      </top>
      <bottom/>
      <diagonal/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/>
      <right style="medium">
        <color rgb="000D1F3C"/>
      </right>
      <top style="medium">
        <color rgb="000D1F3C"/>
      </top>
      <bottom style="medium">
        <color rgb="000D1F3C"/>
      </bottom>
      <diagonal/>
    </border>
    <border>
      <left/>
      <right/>
      <top style="medium">
        <color rgb="000D1F3C"/>
      </top>
      <bottom style="medium">
        <color rgb="000D1F3C"/>
      </bottom>
      <diagonal/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2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13" fillId="3" borderId="3" applyAlignment="1" pivotButton="0" quotePrefix="0" xfId="0">
      <alignment horizontal="center" vertical="center" wrapText="1"/>
    </xf>
    <xf numFmtId="0" fontId="13" fillId="16" borderId="3" applyAlignment="1" pivotButton="0" quotePrefix="0" xfId="0">
      <alignment horizontal="center" vertical="center" wrapText="1"/>
    </xf>
    <xf numFmtId="3" fontId="23" fillId="15" borderId="4" applyAlignment="1" pivotButton="0" quotePrefix="0" xfId="0">
      <alignment horizontal="center" vertical="center" wrapText="1"/>
    </xf>
    <xf numFmtId="3" fontId="24" fillId="15" borderId="4" applyAlignment="1" pivotButton="0" quotePrefix="0" xfId="0">
      <alignment horizontal="center" vertical="center" wrapText="1"/>
    </xf>
    <xf numFmtId="0" fontId="13" fillId="4" borderId="3" applyAlignment="1" pivotButton="0" quotePrefix="0" xfId="0">
      <alignment horizontal="center" vertical="center" wrapText="1"/>
    </xf>
    <xf numFmtId="0" fontId="13" fillId="7" borderId="3" applyAlignment="1" pivotButton="0" quotePrefix="0" xfId="0">
      <alignment horizontal="center" vertical="center" wrapText="1"/>
    </xf>
    <xf numFmtId="3" fontId="25" fillId="15" borderId="4" applyAlignment="1" pivotButton="0" quotePrefix="0" xfId="0">
      <alignment horizontal="center" vertical="center" wrapText="1"/>
    </xf>
    <xf numFmtId="3" fontId="26" fillId="15" borderId="4" applyAlignment="1" pivotButton="0" quotePrefix="0" xfId="0">
      <alignment horizontal="center" vertical="center" wrapText="1"/>
    </xf>
    <xf numFmtId="0" fontId="13" fillId="5" borderId="3" applyAlignment="1" pivotButton="0" quotePrefix="0" xfId="0">
      <alignment horizontal="center" vertical="center" wrapText="1"/>
    </xf>
    <xf numFmtId="0" fontId="13" fillId="2" borderId="3" applyAlignment="1" pivotButton="0" quotePrefix="0" xfId="0">
      <alignment horizontal="center" vertical="center" wrapText="1"/>
    </xf>
    <xf numFmtId="3" fontId="27" fillId="15" borderId="4" applyAlignment="1" pivotButton="0" quotePrefix="0" xfId="0">
      <alignment horizontal="center" vertical="center" wrapText="1"/>
    </xf>
    <xf numFmtId="3" fontId="28" fillId="15" borderId="4" applyAlignment="1" pivotButton="0" quotePrefix="0" xfId="0">
      <alignment horizontal="center" vertical="center" wrapText="1"/>
    </xf>
    <xf numFmtId="0" fontId="13" fillId="6" borderId="3" applyAlignment="1" pivotButton="0" quotePrefix="0" xfId="0">
      <alignment horizontal="center" vertical="center" wrapText="1"/>
    </xf>
    <xf numFmtId="0" fontId="13" fillId="11" borderId="3" applyAlignment="1" pivotButton="0" quotePrefix="0" xfId="0">
      <alignment horizontal="center" vertical="center" wrapText="1"/>
    </xf>
    <xf numFmtId="3" fontId="29" fillId="15" borderId="4" applyAlignment="1" pivotButton="0" quotePrefix="0" xfId="0">
      <alignment horizontal="center" vertical="center" wrapText="1"/>
    </xf>
    <xf numFmtId="3" fontId="30" fillId="15" borderId="4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31" fillId="9" borderId="1" applyAlignment="1" pivotButton="0" quotePrefix="0" xfId="0">
      <alignment horizontal="left" vertical="center" wrapText="1"/>
    </xf>
    <xf numFmtId="3" fontId="32" fillId="9" borderId="1" applyAlignment="1" pivotButton="0" quotePrefix="0" xfId="0">
      <alignment horizontal="right" vertical="center"/>
    </xf>
    <xf numFmtId="9" fontId="31" fillId="9" borderId="1" applyAlignment="1" pivotButton="0" quotePrefix="0" xfId="0">
      <alignment horizontal="center" vertical="center" wrapText="1"/>
    </xf>
    <xf numFmtId="0" fontId="31" fillId="10" borderId="1" applyAlignment="1" pivotButton="0" quotePrefix="0" xfId="0">
      <alignment horizontal="left" vertical="center" wrapText="1"/>
    </xf>
    <xf numFmtId="3" fontId="32" fillId="10" borderId="1" applyAlignment="1" pivotButton="0" quotePrefix="0" xfId="0">
      <alignment horizontal="right" vertical="center"/>
    </xf>
    <xf numFmtId="9" fontId="31" fillId="10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33" fillId="3" borderId="0" applyAlignment="1" pivotButton="0" quotePrefix="0" xfId="0">
      <alignment horizontal="center" vertical="center" wrapText="1"/>
    </xf>
    <xf numFmtId="0" fontId="34" fillId="12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3" fontId="9" fillId="9" borderId="1" applyAlignment="1" pivotButton="0" quotePrefix="0" xfId="0">
      <alignment horizontal="right" vertical="center"/>
    </xf>
    <xf numFmtId="9" fontId="9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  <xf numFmtId="3" fontId="9" fillId="10" borderId="1" applyAlignment="1" pivotButton="0" quotePrefix="0" xfId="0">
      <alignment horizontal="right" vertical="center"/>
    </xf>
    <xf numFmtId="9" fontId="9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 vertical="center" wrapText="1"/>
    </xf>
    <xf numFmtId="3" fontId="12" fillId="11" borderId="2" applyAlignment="1" pivotButton="0" quotePrefix="0" xfId="0">
      <alignment horizontal="right" vertical="center"/>
    </xf>
    <xf numFmtId="3" fontId="12" fillId="4" borderId="2" applyAlignment="1" pivotButton="0" quotePrefix="0" xfId="0">
      <alignment horizontal="right" vertical="center"/>
    </xf>
    <xf numFmtId="0" fontId="0" fillId="3" borderId="2" pivotButton="0" quotePrefix="0" xfId="0"/>
    <xf numFmtId="0" fontId="8" fillId="12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3" fontId="12" fillId="7" borderId="2" applyAlignment="1" pivotButton="0" quotePrefix="0" xfId="0">
      <alignment horizontal="right" vertical="center"/>
    </xf>
    <xf numFmtId="0" fontId="0" fillId="7" borderId="2" pivotButton="0" quotePrefix="0" xfId="0"/>
    <xf numFmtId="3" fontId="11" fillId="7" borderId="2" applyAlignment="1" pivotButton="0" quotePrefix="0" xfId="0">
      <alignment horizontal="right" vertical="center"/>
    </xf>
    <xf numFmtId="0" fontId="15" fillId="10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3" fontId="16" fillId="2" borderId="2" applyAlignment="1" pivotButton="0" quotePrefix="0" xfId="0">
      <alignment horizontal="right" vertical="center"/>
    </xf>
    <xf numFmtId="0" fontId="13" fillId="14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right" vertical="center"/>
    </xf>
    <xf numFmtId="0" fontId="4" fillId="8" borderId="2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left" vertical="center" wrapText="1"/>
    </xf>
    <xf numFmtId="3" fontId="17" fillId="9" borderId="1" applyAlignment="1" pivotButton="0" quotePrefix="0" xfId="0">
      <alignment horizontal="right" vertical="center"/>
    </xf>
    <xf numFmtId="3" fontId="18" fillId="9" borderId="1" applyAlignment="1" pivotButton="0" quotePrefix="0" xfId="0">
      <alignment horizontal="right" vertical="center"/>
    </xf>
    <xf numFmtId="0" fontId="0" fillId="10" borderId="0" pivotButton="0" quotePrefix="0" xfId="0"/>
    <xf numFmtId="0" fontId="4" fillId="13" borderId="2" applyAlignment="1" pivotButton="0" quotePrefix="0" xfId="0">
      <alignment horizontal="center" vertical="center" wrapText="1"/>
    </xf>
    <xf numFmtId="0" fontId="0" fillId="9" borderId="1" pivotButton="0" quotePrefix="0" xfId="0"/>
    <xf numFmtId="0" fontId="4" fillId="13" borderId="1" applyAlignment="1" pivotButton="0" quotePrefix="0" xfId="0">
      <alignment horizontal="left" vertical="center" wrapText="1"/>
    </xf>
    <xf numFmtId="3" fontId="4" fillId="13" borderId="1" applyAlignment="1" pivotButton="0" quotePrefix="0" xfId="0">
      <alignment horizontal="right" vertical="center"/>
    </xf>
    <xf numFmtId="3" fontId="4" fillId="7" borderId="2" applyAlignment="1" pivotButton="0" quotePrefix="0" xfId="0">
      <alignment horizontal="right" vertical="center"/>
    </xf>
    <xf numFmtId="0" fontId="19" fillId="12" borderId="1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right" vertical="center"/>
    </xf>
    <xf numFmtId="3" fontId="4" fillId="5" borderId="2" applyAlignment="1" pivotButton="0" quotePrefix="0" xfId="0">
      <alignment horizontal="right" vertical="center"/>
    </xf>
    <xf numFmtId="0" fontId="11" fillId="3" borderId="2" applyAlignment="1" pivotButton="0" quotePrefix="0" xfId="0">
      <alignment horizontal="left" vertical="center" wrapText="1"/>
    </xf>
    <xf numFmtId="3" fontId="12" fillId="2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3" fontId="4" fillId="6" borderId="1" applyAlignment="1" pivotButton="0" quotePrefix="0" xfId="0">
      <alignment horizontal="right" vertical="center"/>
    </xf>
    <xf numFmtId="0" fontId="0" fillId="6" borderId="2" pivotButton="0" quotePrefix="0" xfId="0"/>
    <xf numFmtId="0" fontId="16" fillId="3" borderId="2" applyAlignment="1" pivotButton="0" quotePrefix="0" xfId="0">
      <alignment horizontal="center" vertical="center" wrapText="1"/>
    </xf>
    <xf numFmtId="3" fontId="20" fillId="11" borderId="2" applyAlignment="1" pivotButton="0" quotePrefix="0" xfId="0">
      <alignment horizontal="right" vertical="center"/>
    </xf>
    <xf numFmtId="0" fontId="21" fillId="12" borderId="1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PledgesTable" displayName="PledgesTable" ref="A3:G16" headerRowCount="1">
  <autoFilter ref="A3:G16"/>
  <tableColumns count="7">
    <tableColumn id="1" name="#"/>
    <tableColumn id="2" name="Name"/>
    <tableColumn id="3" name="Amount Pledged (₦)"/>
    <tableColumn id="4" name="Amount Paid (₦)"/>
    <tableColumn id="5" name="Outstanding (₦)"/>
    <tableColumn id="6" name="% Paid"/>
    <tableColumn id="7" name="Status"/>
  </tableColumns>
  <tableStyleInfo name="TableStyleMedium7" showRowStripes="1"/>
</table>
</file>

<file path=xl/tables/table2.xml><?xml version="1.0" encoding="utf-8"?>
<table xmlns="http://schemas.openxmlformats.org/spreadsheetml/2006/main" id="2" name="EventExpTable" displayName="EventExpTable" ref="A3:F16" headerRowCount="1">
  <autoFilter ref="A3:F16"/>
  <tableColumns count="6">
    <tableColumn id="1" name="#"/>
    <tableColumn id="2" name="Description"/>
    <tableColumn id="3" name="Category"/>
    <tableColumn id="4" name="Amount (₦)"/>
    <tableColumn id="5" name="Status"/>
    <tableColumn id="6" name="Notes"/>
  </tableColumns>
  <tableStyleInfo name="TableStyleMedium3" showRowStripes="1"/>
</table>
</file>

<file path=xl/tables/table3.xml><?xml version="1.0" encoding="utf-8"?>
<table xmlns="http://schemas.openxmlformats.org/spreadsheetml/2006/main" id="3" name="GiftsTable" displayName="GiftsTable" ref="A4:E20" headerRowCount="1">
  <autoFilter ref="A4:E20"/>
  <tableColumns count="5">
    <tableColumn id="1" name="#"/>
    <tableColumn id="2" name="Name / Source"/>
    <tableColumn id="3" name="Amount (₦)"/>
    <tableColumn id="4" name="Status"/>
    <tableColumn id="5" name="Notes"/>
  </tableColumns>
  <tableStyleInfo name="TableStyleMedium11" showRowStripes="1"/>
</table>
</file>

<file path=xl/tables/table4.xml><?xml version="1.0" encoding="utf-8"?>
<table xmlns="http://schemas.openxmlformats.org/spreadsheetml/2006/main" id="4" name="PostExpTable" displayName="PostExpTable" ref="A3:E6" headerRowCount="1">
  <autoFilter ref="A3:E6"/>
  <tableColumns count="5">
    <tableColumn id="1" name="#"/>
    <tableColumn id="2" name="Description"/>
    <tableColumn id="3" name="Amount (₦)"/>
    <tableColumn id="4" name="Status"/>
    <tableColumn id="5" name="Notes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001A5C2E"/>
    <outlinePr summaryBelow="1" summaryRight="1"/>
    <pageSetUpPr/>
  </sheetPr>
  <dimension ref="A1:J5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3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48" customHeight="1">
      <c r="A1" s="1" t="inlineStr">
        <is>
          <t>NDIJOB GLOBAL — FINANCIAL DASHBOARD</t>
        </is>
      </c>
    </row>
    <row r="2" ht="22" customHeight="1">
      <c r="A2" s="2" t="inlineStr">
        <is>
          <t>Report Date: June 27, 2026</t>
        </is>
      </c>
    </row>
    <row r="3" ht="12" customHeight="1"/>
    <row r="4" ht="22" customHeight="1">
      <c r="B4" s="3" t="inlineStr">
        <is>
          <t>OPENING ACCOUNT BALANCE</t>
        </is>
      </c>
      <c r="C4" s="99" t="n"/>
      <c r="D4" s="100" t="n"/>
      <c r="F4" s="4" t="inlineStr">
        <is>
          <t>TOTAL PLEDGES (Job Family)</t>
        </is>
      </c>
      <c r="G4" s="99" t="n"/>
      <c r="H4" s="100" t="n"/>
    </row>
    <row r="5" ht="40" customHeight="1">
      <c r="B5" s="5" t="n">
        <v>2950000</v>
      </c>
      <c r="C5" s="101" t="n"/>
      <c r="D5" s="102" t="n"/>
      <c r="F5" s="6">
        <f>Pledges!C17</f>
        <v/>
      </c>
      <c r="G5" s="101" t="n"/>
      <c r="H5" s="102" t="n"/>
    </row>
    <row r="6" ht="8" customHeight="1"/>
    <row r="7" ht="22" customHeight="1">
      <c r="B7" s="7" t="inlineStr">
        <is>
          <t>TOTAL EVENT EXPENSES</t>
        </is>
      </c>
      <c r="C7" s="99" t="n"/>
      <c r="D7" s="100" t="n"/>
      <c r="F7" s="8" t="inlineStr">
        <is>
          <t>BALANCE AFTER EVENT</t>
        </is>
      </c>
      <c r="G7" s="99" t="n"/>
      <c r="H7" s="100" t="n"/>
    </row>
    <row r="8" ht="40" customHeight="1">
      <c r="B8" s="9">
        <f>'Event Expenses'!D17</f>
        <v/>
      </c>
      <c r="C8" s="101" t="n"/>
      <c r="D8" s="102" t="n"/>
      <c r="F8" s="10">
        <f>'Event Expenses'!D18</f>
        <v/>
      </c>
      <c r="G8" s="101" t="n"/>
      <c r="H8" s="102" t="n"/>
    </row>
    <row r="9" ht="8" customHeight="1"/>
    <row r="10" ht="22" customHeight="1">
      <c r="B10" s="11" t="inlineStr">
        <is>
          <t>TOTAL GIFTS RECEIVED</t>
        </is>
      </c>
      <c r="C10" s="99" t="n"/>
      <c r="D10" s="100" t="n"/>
      <c r="F10" s="12" t="inlineStr">
        <is>
          <t>GROSS TOTAL (before post-exp)</t>
        </is>
      </c>
      <c r="G10" s="99" t="n"/>
      <c r="H10" s="100" t="n"/>
    </row>
    <row r="11" ht="40" customHeight="1">
      <c r="B11" s="13">
        <f>'Gifts from Invitees'!C21</f>
        <v/>
      </c>
      <c r="C11" s="101" t="n"/>
      <c r="D11" s="102" t="n"/>
      <c r="F11" s="14">
        <f>'Gifts from Invitees'!C22</f>
        <v/>
      </c>
      <c r="G11" s="101" t="n"/>
      <c r="H11" s="102" t="n"/>
    </row>
    <row r="12" ht="8" customHeight="1"/>
    <row r="13" ht="22" customHeight="1">
      <c r="B13" s="15" t="inlineStr">
        <is>
          <t>TOTAL POST-EVENT EXPENSES</t>
        </is>
      </c>
      <c r="C13" s="99" t="n"/>
      <c r="D13" s="100" t="n"/>
      <c r="F13" s="16" t="inlineStr">
        <is>
          <t>NET FINAL BALANCE</t>
        </is>
      </c>
      <c r="G13" s="99" t="n"/>
      <c r="H13" s="100" t="n"/>
    </row>
    <row r="14" ht="40" customHeight="1">
      <c r="B14" s="17">
        <f>'Post-Event Expenses'!C7</f>
        <v/>
      </c>
      <c r="C14" s="101" t="n"/>
      <c r="D14" s="102" t="n"/>
      <c r="F14" s="18">
        <f>'Balance Summary'!D50</f>
        <v/>
      </c>
      <c r="G14" s="101" t="n"/>
      <c r="H14" s="102" t="n"/>
    </row>
    <row r="15" ht="14" customHeight="1"/>
    <row r="16" ht="22" customHeight="1">
      <c r="B16" s="19" t="inlineStr">
        <is>
          <t>EVENT EXPENSE BREAKDOWN</t>
        </is>
      </c>
      <c r="C16" s="103" t="n"/>
      <c r="D16" s="104" t="n"/>
    </row>
    <row r="17" ht="18" customHeight="1">
      <c r="B17" s="20" t="inlineStr">
        <is>
          <t>DJ</t>
        </is>
      </c>
      <c r="C17" s="21" t="n">
        <v>120000</v>
      </c>
      <c r="D17" s="22">
        <f>IFERROR(C17/'Event Expenses'!D17,0)</f>
        <v/>
      </c>
    </row>
    <row r="18" ht="18" customHeight="1">
      <c r="B18" s="23" t="inlineStr">
        <is>
          <t>Advert</t>
        </is>
      </c>
      <c r="C18" s="24" t="n">
        <v>120000</v>
      </c>
      <c r="D18" s="25">
        <f>IFERROR(C18/'Event Expenses'!D17,0)</f>
        <v/>
      </c>
    </row>
    <row r="19" ht="18" customHeight="1">
      <c r="B19" s="20" t="inlineStr">
        <is>
          <t>Caterer</t>
        </is>
      </c>
      <c r="C19" s="21" t="n">
        <v>430000</v>
      </c>
      <c r="D19" s="22">
        <f>IFERROR(C19/'Event Expenses'!D17,0)</f>
        <v/>
      </c>
    </row>
    <row r="20" ht="18" customHeight="1">
      <c r="B20" s="23" t="inlineStr">
        <is>
          <t>Canopies, Tables &amp; Chairs</t>
        </is>
      </c>
      <c r="C20" s="24" t="n">
        <v>150000</v>
      </c>
      <c r="D20" s="25">
        <f>IFERROR(C20/'Event Expenses'!D17,0)</f>
        <v/>
      </c>
    </row>
    <row r="21" ht="18" customHeight="1">
      <c r="B21" s="20" t="inlineStr">
        <is>
          <t>Registration of Name</t>
        </is>
      </c>
      <c r="C21" s="21" t="n">
        <v>42000</v>
      </c>
      <c r="D21" s="22">
        <f>IFERROR(C21/'Event Expenses'!D17,0)</f>
        <v/>
      </c>
    </row>
    <row r="22" ht="18" customHeight="1">
      <c r="B22" s="23" t="inlineStr">
        <is>
          <t>Decorations</t>
        </is>
      </c>
      <c r="C22" s="24" t="n">
        <v>110000</v>
      </c>
      <c r="D22" s="25">
        <f>IFERROR(C22/'Event Expenses'!D17,0)</f>
        <v/>
      </c>
    </row>
    <row r="23" ht="18" customHeight="1">
      <c r="B23" s="20" t="inlineStr">
        <is>
          <t>Drinks / Water</t>
        </is>
      </c>
      <c r="C23" s="21" t="n">
        <v>348400</v>
      </c>
      <c r="D23" s="22">
        <f>IFERROR(C23/'Event Expenses'!D17,0)</f>
        <v/>
      </c>
    </row>
    <row r="24" ht="18" customHeight="1">
      <c r="B24" s="23" t="inlineStr">
        <is>
          <t>XXXXLT-Shirts</t>
        </is>
      </c>
      <c r="C24" s="24" t="n">
        <v>48000</v>
      </c>
      <c r="D24" s="25">
        <f>IFERROR(C24/'Event Expenses'!D17,0)</f>
        <v/>
      </c>
    </row>
    <row r="25" ht="18" customHeight="1">
      <c r="B25" s="20" t="inlineStr">
        <is>
          <t>Meat / Garden Egg / Kolanut</t>
        </is>
      </c>
      <c r="C25" s="21" t="n">
        <v>525000</v>
      </c>
      <c r="D25" s="22">
        <f>IFERROR(C25/'Event Expenses'!D17,0)</f>
        <v/>
      </c>
    </row>
    <row r="26" ht="18" customHeight="1">
      <c r="B26" s="23" t="inlineStr">
        <is>
          <t>Firewood</t>
        </is>
      </c>
      <c r="C26" s="24" t="n">
        <v>30000</v>
      </c>
      <c r="D26" s="25">
        <f>IFERROR(C26/'Event Expenses'!D17,0)</f>
        <v/>
      </c>
    </row>
    <row r="27" ht="18" customHeight="1">
      <c r="B27" s="20" t="inlineStr">
        <is>
          <t>MC</t>
        </is>
      </c>
      <c r="C27" s="21" t="n">
        <v>130000</v>
      </c>
      <c r="D27" s="22">
        <f>IFERROR(C27/'Event Expenses'!D17,0)</f>
        <v/>
      </c>
    </row>
    <row r="28" ht="18" customHeight="1">
      <c r="B28" s="23" t="inlineStr">
        <is>
          <t>Ice Block</t>
        </is>
      </c>
      <c r="C28" s="24" t="n">
        <v>12000</v>
      </c>
      <c r="D28" s="25">
        <f>IFERROR(C28/'Event Expenses'!D17,0)</f>
        <v/>
      </c>
    </row>
    <row r="29" ht="18" customHeight="1">
      <c r="B29" s="20" t="inlineStr">
        <is>
          <t>Shehu (Cash)</t>
        </is>
      </c>
      <c r="C29" s="21" t="n">
        <v>8000</v>
      </c>
      <c r="D29" s="22">
        <f>IFERROR(C29/'Event Expenses'!D17,0)</f>
        <v/>
      </c>
    </row>
    <row r="31" ht="22" customHeight="1">
      <c r="B31" s="26" t="inlineStr">
        <is>
          <t>GIFTS FROM INVITEES</t>
        </is>
      </c>
      <c r="C31" s="103" t="n"/>
      <c r="D31" s="104" t="n"/>
    </row>
    <row r="32" ht="18" customHeight="1">
      <c r="B32" s="20" t="inlineStr">
        <is>
          <t>Nkechi Umunakwe</t>
        </is>
      </c>
      <c r="C32" s="21" t="n">
        <v>150000</v>
      </c>
      <c r="D32" s="22">
        <f>IFERROR(C32/'Gifts from Invitees'!C21,0)</f>
        <v/>
      </c>
    </row>
    <row r="33" ht="18" customHeight="1">
      <c r="B33" s="23" t="inlineStr">
        <is>
          <t>Casmir Chimankpam Ebelleme</t>
        </is>
      </c>
      <c r="C33" s="24" t="n">
        <v>20000</v>
      </c>
      <c r="D33" s="25">
        <f>IFERROR(C33/'Gifts from Invitees'!C21,0)</f>
        <v/>
      </c>
    </row>
    <row r="34" ht="18" customHeight="1">
      <c r="B34" s="20" t="inlineStr">
        <is>
          <t>Max</t>
        </is>
      </c>
      <c r="C34" s="21" t="n">
        <v>100000</v>
      </c>
      <c r="D34" s="22">
        <f>IFERROR(C34/'Gifts from Invitees'!C21,0)</f>
        <v/>
      </c>
    </row>
    <row r="35" ht="18" customHeight="1">
      <c r="B35" s="23" t="inlineStr">
        <is>
          <t>Prof BEB Nwoke</t>
        </is>
      </c>
      <c r="C35" s="24" t="n">
        <v>100000</v>
      </c>
      <c r="D35" s="25">
        <f>IFERROR(C35/'Gifts from Invitees'!C21,0)</f>
        <v/>
      </c>
    </row>
    <row r="36" ht="18" customHeight="1">
      <c r="B36" s="20" t="inlineStr">
        <is>
          <t>Benedict</t>
        </is>
      </c>
      <c r="C36" s="21" t="n">
        <v>1000000</v>
      </c>
      <c r="D36" s="22">
        <f>IFERROR(C36/'Gifts from Invitees'!C21,0)</f>
        <v/>
      </c>
    </row>
    <row r="37" ht="18" customHeight="1">
      <c r="B37" s="23" t="inlineStr">
        <is>
          <t>Chibuzor</t>
        </is>
      </c>
      <c r="C37" s="24" t="n">
        <v>50000</v>
      </c>
      <c r="D37" s="25">
        <f>IFERROR(C37/'Gifts from Invitees'!C21,0)</f>
        <v/>
      </c>
    </row>
    <row r="38" ht="18" customHeight="1">
      <c r="B38" s="20" t="inlineStr">
        <is>
          <t>Odoh Chike Nnaemeka</t>
        </is>
      </c>
      <c r="C38" s="21" t="n">
        <v>100000</v>
      </c>
      <c r="D38" s="22">
        <f>IFERROR(C38/'Gifts from Invitees'!C21,0)</f>
        <v/>
      </c>
    </row>
    <row r="39" ht="18" customHeight="1">
      <c r="B39" s="23" t="inlineStr">
        <is>
          <t>Odoh Chike Nnaemeka</t>
        </is>
      </c>
      <c r="C39" s="24" t="n">
        <v>21000</v>
      </c>
      <c r="D39" s="25">
        <f>IFERROR(C39/'Gifts from Invitees'!C21,0)</f>
        <v/>
      </c>
    </row>
    <row r="40" ht="18" customHeight="1">
      <c r="B40" s="20" t="inlineStr">
        <is>
          <t>Cash – Day of Event</t>
        </is>
      </c>
      <c r="C40" s="21" t="n">
        <v>153000</v>
      </c>
      <c r="D40" s="22">
        <f>IFERROR(C40/'Gifts from Invitees'!C21,0)</f>
        <v/>
      </c>
    </row>
    <row r="41" ht="18" customHeight="1">
      <c r="B41" s="23" t="inlineStr">
        <is>
          <t>Emma Obinikpa</t>
        </is>
      </c>
      <c r="C41" s="24" t="n">
        <v>100000</v>
      </c>
      <c r="D41" s="25">
        <f>IFERROR(C41/'Gifts from Invitees'!C21,0)</f>
        <v/>
      </c>
    </row>
    <row r="42" ht="18" customHeight="1">
      <c r="B42" s="20" t="inlineStr">
        <is>
          <t>Odoh Chike Nnamdi</t>
        </is>
      </c>
      <c r="C42" s="21" t="n">
        <v>500000</v>
      </c>
      <c r="D42" s="22">
        <f>IFERROR(C42/'Gifts from Invitees'!C21,0)</f>
        <v/>
      </c>
    </row>
    <row r="43" ht="18" customHeight="1">
      <c r="B43" s="23" t="inlineStr">
        <is>
          <t>Mrs Pearl Kanu</t>
        </is>
      </c>
      <c r="C43" s="24" t="n">
        <v>200000</v>
      </c>
      <c r="D43" s="25">
        <f>IFERROR(C43/'Gifts from Invitees'!C21,0)</f>
        <v/>
      </c>
    </row>
    <row r="44" ht="18" customHeight="1">
      <c r="B44" s="20" t="inlineStr">
        <is>
          <t>Mrs Ibekwe</t>
        </is>
      </c>
      <c r="C44" s="21" t="n">
        <v>500000</v>
      </c>
      <c r="D44" s="22">
        <f>IFERROR(C44/'Gifts from Invitees'!C21,0)</f>
        <v/>
      </c>
    </row>
    <row r="45" ht="18" customHeight="1">
      <c r="B45" s="23" t="inlineStr">
        <is>
          <t>Favour Njoku</t>
        </is>
      </c>
      <c r="C45" s="24" t="n">
        <v>100000</v>
      </c>
      <c r="D45" s="25">
        <f>IFERROR(C45/'Gifts from Invitees'!C21,0)</f>
        <v/>
      </c>
    </row>
    <row r="46" ht="18" customHeight="1">
      <c r="B46" s="20" t="inlineStr">
        <is>
          <t>Ify Ohameje</t>
        </is>
      </c>
      <c r="C46" s="21" t="n">
        <v>200000</v>
      </c>
      <c r="D46" s="22">
        <f>IFERROR(C46/'Gifts from Invitees'!C21,0)</f>
        <v/>
      </c>
    </row>
    <row r="47" ht="18" customHeight="1">
      <c r="B47" s="23" t="inlineStr">
        <is>
          <t>Dubem Nnayere Odoh</t>
        </is>
      </c>
      <c r="C47" s="24" t="n">
        <v>400000</v>
      </c>
      <c r="D47" s="25">
        <f>IFERROR(C47/'Gifts from Invitees'!C21,0)</f>
        <v/>
      </c>
    </row>
    <row r="49" ht="22" customHeight="1">
      <c r="A49" s="27" t="inlineStr">
        <is>
          <t>All amounts in Nigerian Naira (₦)  |  Figures auto-update from data sheets  |  NDIJOB GLOBAL — CONFIDENTIAL</t>
        </is>
      </c>
    </row>
    <row r="50" ht="22" customHeight="1">
      <c r="A50" s="28" t="inlineStr">
        <is>
          <t>DISCLAIMER: This document is confidential and intended solely for authorised recipients of NDIJOB GLOBAL.</t>
        </is>
      </c>
      <c r="B50" s="103" t="n"/>
      <c r="C50" s="103" t="n"/>
      <c r="D50" s="103" t="n"/>
      <c r="E50" s="103" t="n"/>
      <c r="F50" s="103" t="n"/>
      <c r="G50" s="103" t="n"/>
      <c r="H50" s="103" t="n"/>
      <c r="I50" s="103" t="n"/>
      <c r="J50" s="104" t="n"/>
    </row>
  </sheetData>
  <mergeCells count="22">
    <mergeCell ref="B11:D11"/>
    <mergeCell ref="B14:D14"/>
    <mergeCell ref="F5:H5"/>
    <mergeCell ref="B8:D8"/>
    <mergeCell ref="F8:H8"/>
    <mergeCell ref="B13:D13"/>
    <mergeCell ref="B10:D10"/>
    <mergeCell ref="F13:H13"/>
    <mergeCell ref="A49:J49"/>
    <mergeCell ref="A1:J1"/>
    <mergeCell ref="B5:D5"/>
    <mergeCell ref="F14:H14"/>
    <mergeCell ref="B4:D4"/>
    <mergeCell ref="F4:H4"/>
    <mergeCell ref="B7:D7"/>
    <mergeCell ref="F11:H11"/>
    <mergeCell ref="B16:D16"/>
    <mergeCell ref="F10:H10"/>
    <mergeCell ref="B31:D31"/>
    <mergeCell ref="A2:J2"/>
    <mergeCell ref="A50:J50"/>
    <mergeCell ref="F7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5C2E"/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60" customHeight="1">
      <c r="A1" s="29" t="inlineStr">
        <is>
          <t>NDIJOB GLOBAL</t>
        </is>
      </c>
    </row>
    <row r="2" ht="30" customHeight="1">
      <c r="A2" s="30" t="inlineStr">
        <is>
          <t>FINANCIAL WORKBOOK  —  EVENT &amp; OPERATIONS FUND</t>
        </is>
      </c>
    </row>
    <row r="3" ht="22" customHeight="1">
      <c r="A3" s="2" t="inlineStr">
        <is>
          <t>Generated: June 27, 2026  |  All figures in Nigerian Naira (₦)</t>
        </is>
      </c>
    </row>
    <row r="4" ht="16" customHeight="1"/>
    <row r="5" ht="26" customHeight="1">
      <c r="A5" s="31" t="inlineStr">
        <is>
          <t>CONTENTS</t>
        </is>
      </c>
      <c r="B5" s="104" t="n"/>
      <c r="C5" s="32" t="inlineStr">
        <is>
          <t>Description</t>
        </is>
      </c>
      <c r="D5" s="103" t="n"/>
      <c r="E5" s="103" t="n"/>
      <c r="F5" s="104" t="n"/>
    </row>
    <row r="6" ht="26" customHeight="1">
      <c r="A6" s="33" t="inlineStr">
        <is>
          <t>Pledges</t>
        </is>
      </c>
      <c r="B6" s="104" t="n"/>
      <c r="C6" s="34" t="inlineStr">
        <is>
          <t>Job Family contributions &amp; payments</t>
        </is>
      </c>
      <c r="D6" s="103" t="n"/>
      <c r="E6" s="103" t="n"/>
      <c r="F6" s="104" t="n"/>
    </row>
    <row r="7" ht="26" customHeight="1">
      <c r="A7" s="35" t="inlineStr">
        <is>
          <t>Event Expenses</t>
        </is>
      </c>
      <c r="B7" s="104" t="n"/>
      <c r="C7" s="36" t="inlineStr">
        <is>
          <t>All expenses incurred for the event</t>
        </is>
      </c>
      <c r="D7" s="103" t="n"/>
      <c r="E7" s="103" t="n"/>
      <c r="F7" s="104" t="n"/>
    </row>
    <row r="8" ht="26" customHeight="1">
      <c r="A8" s="37" t="inlineStr">
        <is>
          <t>Gifts</t>
        </is>
      </c>
      <c r="B8" s="104" t="n"/>
      <c r="C8" s="38" t="inlineStr">
        <is>
          <t>Donations received from event invitees</t>
        </is>
      </c>
      <c r="D8" s="103" t="n"/>
      <c r="E8" s="103" t="n"/>
      <c r="F8" s="104" t="n"/>
    </row>
    <row r="9" ht="26" customHeight="1">
      <c r="A9" s="39" t="inlineStr">
        <is>
          <t>Post-Event Exp.</t>
        </is>
      </c>
      <c r="B9" s="104" t="n"/>
      <c r="C9" s="40" t="inlineStr">
        <is>
          <t>Infrastructure &amp; operational spending</t>
        </is>
      </c>
      <c r="D9" s="103" t="n"/>
      <c r="E9" s="103" t="n"/>
      <c r="F9" s="104" t="n"/>
    </row>
    <row r="10" ht="26" customHeight="1">
      <c r="A10" s="41" t="inlineStr">
        <is>
          <t>Balance Summary</t>
        </is>
      </c>
      <c r="B10" s="104" t="n"/>
      <c r="C10" s="42" t="inlineStr">
        <is>
          <t>Full running statement with net balance</t>
        </is>
      </c>
      <c r="D10" s="103" t="n"/>
      <c r="E10" s="103" t="n"/>
      <c r="F10" s="104" t="n"/>
    </row>
    <row r="11" ht="26" customHeight="1">
      <c r="A11" s="43" t="inlineStr">
        <is>
          <t>Dashboard</t>
        </is>
      </c>
      <c r="B11" s="104" t="n"/>
      <c r="C11" s="44" t="inlineStr">
        <is>
          <t>Visual summary of all key figures</t>
        </is>
      </c>
      <c r="D11" s="103" t="n"/>
      <c r="E11" s="103" t="n"/>
      <c r="F11" s="104" t="n"/>
    </row>
  </sheetData>
  <mergeCells count="17">
    <mergeCell ref="A2:F2"/>
    <mergeCell ref="C9:F9"/>
    <mergeCell ref="A7:B7"/>
    <mergeCell ref="C8:F8"/>
    <mergeCell ref="A1:F1"/>
    <mergeCell ref="A11:B11"/>
    <mergeCell ref="A10:B10"/>
    <mergeCell ref="A5:B5"/>
    <mergeCell ref="C6:F6"/>
    <mergeCell ref="C7:F7"/>
    <mergeCell ref="A9:B9"/>
    <mergeCell ref="C11:F11"/>
    <mergeCell ref="A3:F3"/>
    <mergeCell ref="C5:F5"/>
    <mergeCell ref="A8:B8"/>
    <mergeCell ref="C10:F10"/>
    <mergeCell ref="A6:B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84C"/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20" customWidth="1" min="4" max="4"/>
    <col width="20" customWidth="1" min="5" max="5"/>
    <col width="10" customWidth="1" min="6" max="6"/>
    <col width="16" customWidth="1" min="7" max="7"/>
  </cols>
  <sheetData>
    <row r="1" ht="36" customHeight="1">
      <c r="A1" s="45" t="inlineStr">
        <is>
          <t>NDIJOB GLOBAL — PLEDGES &amp; CONTRIBUTIONS</t>
        </is>
      </c>
    </row>
    <row r="2" ht="18" customHeight="1">
      <c r="A2" s="46" t="inlineStr">
        <is>
          <t>All amounts in Nigerian Naira (₦)  |  Generated: June 27, 2026</t>
        </is>
      </c>
    </row>
    <row r="3" ht="26" customHeight="1">
      <c r="A3" s="47" t="inlineStr">
        <is>
          <t>#</t>
        </is>
      </c>
      <c r="B3" s="47" t="inlineStr">
        <is>
          <t>Name</t>
        </is>
      </c>
      <c r="C3" s="47" t="inlineStr">
        <is>
          <t>Amount Pledged (₦)</t>
        </is>
      </c>
      <c r="D3" s="47" t="inlineStr">
        <is>
          <t>Amount Paid (₦)</t>
        </is>
      </c>
      <c r="E3" s="47" t="inlineStr">
        <is>
          <t>Outstanding (₦)</t>
        </is>
      </c>
      <c r="F3" s="47" t="inlineStr">
        <is>
          <t>% Paid</t>
        </is>
      </c>
      <c r="G3" s="47" t="inlineStr">
        <is>
          <t>Status</t>
        </is>
      </c>
    </row>
    <row r="4" ht="20" customHeight="1">
      <c r="A4" s="48" t="n">
        <v>1</v>
      </c>
      <c r="B4" s="49" t="inlineStr">
        <is>
          <t>Job Sweet</t>
        </is>
      </c>
      <c r="C4" s="50" t="n">
        <v>1150000</v>
      </c>
      <c r="D4" s="50" t="n">
        <v>1150000</v>
      </c>
      <c r="E4" s="50">
        <f>C4-D4</f>
        <v/>
      </c>
      <c r="F4" s="51">
        <f>IFERROR(D4/C4,0)</f>
        <v/>
      </c>
      <c r="G4" s="52" t="inlineStr">
        <is>
          <t>Paid</t>
        </is>
      </c>
    </row>
    <row r="5" ht="20" customHeight="1">
      <c r="A5" s="53" t="n">
        <v>2</v>
      </c>
      <c r="B5" s="54" t="inlineStr">
        <is>
          <t>Job Paddy</t>
        </is>
      </c>
      <c r="C5" s="55" t="n">
        <v>1000000</v>
      </c>
      <c r="D5" s="55" t="n">
        <v>1000000</v>
      </c>
      <c r="E5" s="55">
        <f>C5-D5</f>
        <v/>
      </c>
      <c r="F5" s="56">
        <f>IFERROR(D5/C5,0)</f>
        <v/>
      </c>
      <c r="G5" s="57" t="inlineStr">
        <is>
          <t>Paid</t>
        </is>
      </c>
    </row>
    <row r="6" ht="20" customHeight="1">
      <c r="A6" s="48" t="n">
        <v>3</v>
      </c>
      <c r="B6" s="49" t="inlineStr">
        <is>
          <t>Job PJ</t>
        </is>
      </c>
      <c r="C6" s="50" t="n">
        <v>300000</v>
      </c>
      <c r="D6" s="50" t="n">
        <v>300000</v>
      </c>
      <c r="E6" s="50">
        <f>C6-D6</f>
        <v/>
      </c>
      <c r="F6" s="51">
        <f>IFERROR(D6/C6,0)</f>
        <v/>
      </c>
      <c r="G6" s="52" t="inlineStr">
        <is>
          <t>Paid</t>
        </is>
      </c>
    </row>
    <row r="7" ht="20" customHeight="1">
      <c r="A7" s="53" t="n">
        <v>4</v>
      </c>
      <c r="B7" s="54" t="inlineStr">
        <is>
          <t>Job Kalota</t>
        </is>
      </c>
      <c r="C7" s="55" t="n">
        <v>200000</v>
      </c>
      <c r="D7" s="55" t="n">
        <v>200000</v>
      </c>
      <c r="E7" s="55">
        <f>C7-D7</f>
        <v/>
      </c>
      <c r="F7" s="56">
        <f>IFERROR(D7/C7,0)</f>
        <v/>
      </c>
      <c r="G7" s="57" t="inlineStr">
        <is>
          <t>Paid</t>
        </is>
      </c>
    </row>
    <row r="8" ht="20" customHeight="1">
      <c r="A8" s="48" t="n">
        <v>5</v>
      </c>
      <c r="B8" s="49" t="inlineStr">
        <is>
          <t>Job Shehu</t>
        </is>
      </c>
      <c r="C8" s="50" t="n">
        <v>50000</v>
      </c>
      <c r="D8" s="50" t="n">
        <v>50000</v>
      </c>
      <c r="E8" s="50">
        <f>C8-D8</f>
        <v/>
      </c>
      <c r="F8" s="51">
        <f>IFERROR(D8/C8,0)</f>
        <v/>
      </c>
      <c r="G8" s="52" t="inlineStr">
        <is>
          <t>Paid</t>
        </is>
      </c>
    </row>
    <row r="9" ht="20" customHeight="1">
      <c r="A9" s="53" t="n">
        <v>6</v>
      </c>
      <c r="B9" s="54" t="inlineStr">
        <is>
          <t>Job Nelcon</t>
        </is>
      </c>
      <c r="C9" s="55" t="n">
        <v>10000</v>
      </c>
      <c r="D9" s="55" t="n">
        <v>10000</v>
      </c>
      <c r="E9" s="55">
        <f>C9-D9</f>
        <v/>
      </c>
      <c r="F9" s="56">
        <f>IFERROR(D9/C9,0)</f>
        <v/>
      </c>
      <c r="G9" s="57" t="inlineStr">
        <is>
          <t>Paid</t>
        </is>
      </c>
    </row>
    <row r="10" ht="20" customHeight="1">
      <c r="A10" s="48" t="n">
        <v>7</v>
      </c>
      <c r="B10" s="49" t="inlineStr">
        <is>
          <t>Job Chi</t>
        </is>
      </c>
      <c r="C10" s="50" t="n">
        <v>100000</v>
      </c>
      <c r="D10" s="50" t="n">
        <v>100000</v>
      </c>
      <c r="E10" s="50">
        <f>C10-D10</f>
        <v/>
      </c>
      <c r="F10" s="51">
        <f>IFERROR(D10/C10,0)</f>
        <v/>
      </c>
      <c r="G10" s="52" t="inlineStr">
        <is>
          <t>Paid</t>
        </is>
      </c>
    </row>
    <row r="11" ht="20" customHeight="1">
      <c r="A11" s="53" t="n">
        <v>8</v>
      </c>
      <c r="B11" s="54" t="inlineStr">
        <is>
          <t>Job Nkiru</t>
        </is>
      </c>
      <c r="C11" s="55" t="n">
        <v>10000</v>
      </c>
      <c r="D11" s="55" t="n">
        <v>10000</v>
      </c>
      <c r="E11" s="55">
        <f>C11-D11</f>
        <v/>
      </c>
      <c r="F11" s="56">
        <f>IFERROR(D11/C11,0)</f>
        <v/>
      </c>
      <c r="G11" s="57" t="inlineStr">
        <is>
          <t>Paid</t>
        </is>
      </c>
    </row>
    <row r="12" ht="20" customHeight="1">
      <c r="A12" s="48" t="n">
        <v>9</v>
      </c>
      <c r="B12" s="49" t="inlineStr">
        <is>
          <t>Job Ngozi</t>
        </is>
      </c>
      <c r="C12" s="50" t="n">
        <v>50000</v>
      </c>
      <c r="D12" s="50" t="n">
        <v>50000</v>
      </c>
      <c r="E12" s="50">
        <f>C12-D12</f>
        <v/>
      </c>
      <c r="F12" s="51">
        <f>IFERROR(D12/C12,0)</f>
        <v/>
      </c>
      <c r="G12" s="52" t="inlineStr">
        <is>
          <t>Paid</t>
        </is>
      </c>
    </row>
    <row r="13" ht="20" customHeight="1">
      <c r="A13" s="53" t="n">
        <v>10</v>
      </c>
      <c r="B13" s="54" t="inlineStr">
        <is>
          <t>Job Father</t>
        </is>
      </c>
      <c r="C13" s="55" t="n">
        <v>200000</v>
      </c>
      <c r="D13" s="55" t="n">
        <v>200000</v>
      </c>
      <c r="E13" s="55">
        <f>C13-D13</f>
        <v/>
      </c>
      <c r="F13" s="56">
        <f>IFERROR(D13/C13,0)</f>
        <v/>
      </c>
      <c r="G13" s="57" t="inlineStr">
        <is>
          <t>Paid</t>
        </is>
      </c>
    </row>
    <row r="14" ht="20" customHeight="1">
      <c r="A14" s="48" t="n">
        <v>11</v>
      </c>
      <c r="B14" s="49" t="inlineStr">
        <is>
          <t>Job Nora</t>
        </is>
      </c>
      <c r="C14" s="50" t="n">
        <v>50000</v>
      </c>
      <c r="D14" s="50" t="n">
        <v>50000</v>
      </c>
      <c r="E14" s="50">
        <f>C14-D14</f>
        <v/>
      </c>
      <c r="F14" s="51">
        <f>IFERROR(D14/C14,0)</f>
        <v/>
      </c>
      <c r="G14" s="52" t="inlineStr">
        <is>
          <t>Paid</t>
        </is>
      </c>
    </row>
    <row r="15" ht="20" customHeight="1">
      <c r="A15" s="53" t="n">
        <v>12</v>
      </c>
      <c r="B15" s="54" t="inlineStr">
        <is>
          <t>Job Ndy</t>
        </is>
      </c>
      <c r="C15" s="55" t="n">
        <v>100000</v>
      </c>
      <c r="D15" s="55" t="n">
        <v>100000</v>
      </c>
      <c r="E15" s="55">
        <f>C15-D15</f>
        <v/>
      </c>
      <c r="F15" s="56">
        <f>IFERROR(D15/C15,0)</f>
        <v/>
      </c>
      <c r="G15" s="57" t="inlineStr">
        <is>
          <t>Paid</t>
        </is>
      </c>
    </row>
    <row r="16" ht="20" customHeight="1">
      <c r="A16" s="48" t="n">
        <v>13</v>
      </c>
      <c r="B16" s="49" t="inlineStr">
        <is>
          <t>Job Onyi</t>
        </is>
      </c>
      <c r="C16" s="50" t="n">
        <v>30000</v>
      </c>
      <c r="D16" s="50" t="n">
        <v>30000</v>
      </c>
      <c r="E16" s="50">
        <f>C16-D16</f>
        <v/>
      </c>
      <c r="F16" s="51">
        <f>IFERROR(D16/C16,0)</f>
        <v/>
      </c>
      <c r="G16" s="52" t="inlineStr">
        <is>
          <t>Paid</t>
        </is>
      </c>
    </row>
    <row r="17" ht="28" customHeight="1">
      <c r="A17" s="58" t="inlineStr">
        <is>
          <t>TOTAL PLEDGES / PAYMENTS</t>
        </is>
      </c>
      <c r="B17" s="105" t="n"/>
      <c r="C17" s="59">
        <f>SUM(C4:C16)</f>
        <v/>
      </c>
      <c r="D17" s="59">
        <f>SUM(D4:D16)</f>
        <v/>
      </c>
      <c r="E17" s="60">
        <f>SUM(E4:E16)</f>
        <v/>
      </c>
      <c r="F17" s="61" t="n"/>
      <c r="G17" s="61" t="n"/>
    </row>
    <row r="18" ht="22" customHeight="1">
      <c r="A18" s="62" t="inlineStr">
        <is>
          <t xml:space="preserve">  ★  Money deposited in account: ₦2,950,000</t>
        </is>
      </c>
      <c r="B18" s="103" t="n"/>
      <c r="C18" s="103" t="n"/>
      <c r="D18" s="103" t="n"/>
      <c r="E18" s="103" t="n"/>
      <c r="F18" s="103" t="n"/>
      <c r="G18" s="104" t="n"/>
    </row>
  </sheetData>
  <mergeCells count="4">
    <mergeCell ref="A18:G18"/>
    <mergeCell ref="A2:G2"/>
    <mergeCell ref="A1:G1"/>
    <mergeCell ref="A17:B17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C0392B"/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20" customWidth="1" min="3" max="3"/>
    <col width="18" customWidth="1" min="4" max="4"/>
    <col width="18" customWidth="1" min="5" max="5"/>
    <col width="30" customWidth="1" min="6" max="6"/>
  </cols>
  <sheetData>
    <row r="1" ht="36" customHeight="1">
      <c r="A1" s="45" t="inlineStr">
        <is>
          <t>NDIJOB GLOBAL — EVENT EXPENSES</t>
        </is>
      </c>
    </row>
    <row r="2" ht="18" customHeight="1">
      <c r="A2" s="46" t="inlineStr">
        <is>
          <t>All amounts in Nigerian Naira (₦)  |  Generated: June 27, 2026</t>
        </is>
      </c>
    </row>
    <row r="3" ht="26" customHeight="1">
      <c r="A3" s="19" t="inlineStr">
        <is>
          <t>#</t>
        </is>
      </c>
      <c r="B3" s="19" t="inlineStr">
        <is>
          <t>Description</t>
        </is>
      </c>
      <c r="C3" s="19" t="inlineStr">
        <is>
          <t>Category</t>
        </is>
      </c>
      <c r="D3" s="19" t="inlineStr">
        <is>
          <t>Amount (₦)</t>
        </is>
      </c>
      <c r="E3" s="19" t="inlineStr">
        <is>
          <t>Status</t>
        </is>
      </c>
      <c r="F3" s="19" t="inlineStr">
        <is>
          <t>Notes</t>
        </is>
      </c>
    </row>
    <row r="4" ht="20" customHeight="1">
      <c r="A4" s="48" t="n">
        <v>1</v>
      </c>
      <c r="B4" s="49" t="inlineStr">
        <is>
          <t>DJ</t>
        </is>
      </c>
      <c r="C4" s="49" t="inlineStr">
        <is>
          <t>Entertainment</t>
        </is>
      </c>
      <c r="D4" s="50" t="n">
        <v>120000</v>
      </c>
      <c r="E4" s="52" t="inlineStr">
        <is>
          <t>Paid</t>
        </is>
      </c>
      <c r="F4" s="49" t="n"/>
    </row>
    <row r="5" ht="20" customHeight="1">
      <c r="A5" s="53" t="n">
        <v>2</v>
      </c>
      <c r="B5" s="54" t="inlineStr">
        <is>
          <t>Advert</t>
        </is>
      </c>
      <c r="C5" s="54" t="inlineStr">
        <is>
          <t>Marketing</t>
        </is>
      </c>
      <c r="D5" s="55" t="n">
        <v>120000</v>
      </c>
      <c r="E5" s="57" t="inlineStr">
        <is>
          <t>Full Payment</t>
        </is>
      </c>
      <c r="F5" s="54" t="n"/>
    </row>
    <row r="6" ht="20" customHeight="1">
      <c r="A6" s="48" t="n">
        <v>3</v>
      </c>
      <c r="B6" s="49" t="inlineStr">
        <is>
          <t>Caterer</t>
        </is>
      </c>
      <c r="C6" s="49" t="inlineStr">
        <is>
          <t>Catering</t>
        </is>
      </c>
      <c r="D6" s="50" t="n">
        <v>430000</v>
      </c>
      <c r="E6" s="52" t="inlineStr">
        <is>
          <t>Paid</t>
        </is>
      </c>
      <c r="F6" s="49" t="n"/>
    </row>
    <row r="7" ht="20" customHeight="1">
      <c r="A7" s="53" t="n">
        <v>4</v>
      </c>
      <c r="B7" s="54" t="inlineStr">
        <is>
          <t>Canopies, Tables &amp; Chairs</t>
        </is>
      </c>
      <c r="C7" s="54" t="inlineStr">
        <is>
          <t>Venue</t>
        </is>
      </c>
      <c r="D7" s="55" t="n">
        <v>150000</v>
      </c>
      <c r="E7" s="57" t="inlineStr">
        <is>
          <t>Full Payment</t>
        </is>
      </c>
      <c r="F7" s="54" t="n"/>
    </row>
    <row r="8" ht="20" customHeight="1">
      <c r="A8" s="48" t="n">
        <v>5</v>
      </c>
      <c r="B8" s="49" t="inlineStr">
        <is>
          <t>Registration of Name</t>
        </is>
      </c>
      <c r="C8" s="49" t="inlineStr">
        <is>
          <t>Administrative</t>
        </is>
      </c>
      <c r="D8" s="50" t="n">
        <v>42000</v>
      </c>
      <c r="E8" s="63" t="inlineStr">
        <is>
          <t>Pending</t>
        </is>
      </c>
      <c r="F8" s="49" t="n"/>
    </row>
    <row r="9" ht="20" customHeight="1">
      <c r="A9" s="53" t="n">
        <v>6</v>
      </c>
      <c r="B9" s="54" t="inlineStr">
        <is>
          <t>Decorations</t>
        </is>
      </c>
      <c r="C9" s="54" t="inlineStr">
        <is>
          <t>Venue</t>
        </is>
      </c>
      <c r="D9" s="55" t="n">
        <v>110000</v>
      </c>
      <c r="E9" s="64" t="inlineStr">
        <is>
          <t>Pending</t>
        </is>
      </c>
      <c r="F9" s="54" t="n"/>
    </row>
    <row r="10" ht="20" customHeight="1">
      <c r="A10" s="48" t="n">
        <v>7</v>
      </c>
      <c r="B10" s="49" t="inlineStr">
        <is>
          <t>Drinks / Water</t>
        </is>
      </c>
      <c r="C10" s="49" t="inlineStr">
        <is>
          <t>Catering</t>
        </is>
      </c>
      <c r="D10" s="50" t="n">
        <v>348400</v>
      </c>
      <c r="E10" s="52" t="inlineStr">
        <is>
          <t>Full Payment</t>
        </is>
      </c>
      <c r="F10" s="49" t="n"/>
    </row>
    <row r="11" ht="20" customHeight="1">
      <c r="A11" s="53" t="n">
        <v>8</v>
      </c>
      <c r="B11" s="54" t="inlineStr">
        <is>
          <t>XXXXLT-Shirts</t>
        </is>
      </c>
      <c r="C11" s="54" t="inlineStr">
        <is>
          <t>Merchandise</t>
        </is>
      </c>
      <c r="D11" s="55" t="n">
        <v>48000</v>
      </c>
      <c r="E11" s="57" t="inlineStr">
        <is>
          <t>Full Payment</t>
        </is>
      </c>
      <c r="F11" s="54" t="n"/>
    </row>
    <row r="12" ht="20" customHeight="1">
      <c r="A12" s="48" t="n">
        <v>9</v>
      </c>
      <c r="B12" s="49" t="inlineStr">
        <is>
          <t>Meat / Garden Egg / Kolanut</t>
        </is>
      </c>
      <c r="C12" s="49" t="inlineStr">
        <is>
          <t>Catering</t>
        </is>
      </c>
      <c r="D12" s="50" t="n">
        <v>525000</v>
      </c>
      <c r="E12" s="63" t="inlineStr">
        <is>
          <t>Pending</t>
        </is>
      </c>
      <c r="F12" s="49" t="n"/>
    </row>
    <row r="13" ht="20" customHeight="1">
      <c r="A13" s="53" t="n">
        <v>10</v>
      </c>
      <c r="B13" s="54" t="inlineStr">
        <is>
          <t>Firewood</t>
        </is>
      </c>
      <c r="C13" s="54" t="inlineStr">
        <is>
          <t>Catering</t>
        </is>
      </c>
      <c r="D13" s="55" t="n">
        <v>30000</v>
      </c>
      <c r="E13" s="64" t="inlineStr">
        <is>
          <t>Pending</t>
        </is>
      </c>
      <c r="F13" s="54" t="n"/>
    </row>
    <row r="14" ht="20" customHeight="1">
      <c r="A14" s="48" t="n">
        <v>11</v>
      </c>
      <c r="B14" s="49" t="inlineStr">
        <is>
          <t>MC</t>
        </is>
      </c>
      <c r="C14" s="49" t="inlineStr">
        <is>
          <t>Entertainment</t>
        </is>
      </c>
      <c r="D14" s="50" t="n">
        <v>130000</v>
      </c>
      <c r="E14" s="52" t="inlineStr">
        <is>
          <t>Paid</t>
        </is>
      </c>
      <c r="F14" s="49" t="n"/>
    </row>
    <row r="15" ht="20" customHeight="1">
      <c r="A15" s="53" t="n">
        <v>12</v>
      </c>
      <c r="B15" s="54" t="inlineStr">
        <is>
          <t>Ice Block</t>
        </is>
      </c>
      <c r="C15" s="54" t="inlineStr">
        <is>
          <t>Catering</t>
        </is>
      </c>
      <c r="D15" s="55" t="n">
        <v>12000</v>
      </c>
      <c r="E15" s="57" t="inlineStr">
        <is>
          <t>Paid</t>
        </is>
      </c>
      <c r="F15" s="54" t="n"/>
    </row>
    <row r="16" ht="20" customHeight="1">
      <c r="A16" s="48" t="n">
        <v>13</v>
      </c>
      <c r="B16" s="49" t="inlineStr">
        <is>
          <t>Shehu (Cash)</t>
        </is>
      </c>
      <c r="C16" s="49" t="inlineStr">
        <is>
          <t>Administrative</t>
        </is>
      </c>
      <c r="D16" s="50" t="n">
        <v>8000</v>
      </c>
      <c r="E16" s="52" t="inlineStr">
        <is>
          <t>Paid</t>
        </is>
      </c>
      <c r="F16" s="49" t="n"/>
    </row>
    <row r="17" ht="28" customHeight="1">
      <c r="A17" s="58" t="inlineStr">
        <is>
          <t>TOTAL EVENT EXPENSES</t>
        </is>
      </c>
      <c r="B17" s="106" t="n"/>
      <c r="C17" s="105" t="n"/>
      <c r="D17" s="60">
        <f>SUM(D4:D16)</f>
        <v/>
      </c>
      <c r="E17" s="61" t="n"/>
      <c r="F17" s="61" t="n"/>
    </row>
    <row r="18" ht="28" customHeight="1">
      <c r="A18" s="65" t="inlineStr">
        <is>
          <t>BALANCE AFTER EVENT EXPENSES</t>
        </is>
      </c>
      <c r="B18" s="106" t="n"/>
      <c r="C18" s="105" t="n"/>
      <c r="D18" s="66">
        <f>2950000-D17</f>
        <v/>
      </c>
      <c r="E18" s="67" t="n"/>
      <c r="F18" s="67" t="n"/>
    </row>
    <row r="19" ht="22" customHeight="1">
      <c r="A19" s="62" t="inlineStr">
        <is>
          <t xml:space="preserve">  ★  Stated balance per records: ₦986,600</t>
        </is>
      </c>
      <c r="B19" s="103" t="n"/>
      <c r="C19" s="103" t="n"/>
      <c r="D19" s="103" t="n"/>
      <c r="E19" s="103" t="n"/>
      <c r="F19" s="104" t="n"/>
    </row>
  </sheetData>
  <mergeCells count="5">
    <mergeCell ref="A2:F2"/>
    <mergeCell ref="A19:F19"/>
    <mergeCell ref="A1:F1"/>
    <mergeCell ref="A17:C17"/>
    <mergeCell ref="A18:C18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6C3483"/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20" customWidth="1" min="3" max="3"/>
    <col width="14" customWidth="1" min="4" max="4"/>
    <col width="38" customWidth="1" min="5" max="5"/>
  </cols>
  <sheetData>
    <row r="1" ht="36" customHeight="1">
      <c r="A1" s="45" t="inlineStr">
        <is>
          <t>NDIJOB GLOBAL — GIFTS FROM INVITEES</t>
        </is>
      </c>
    </row>
    <row r="2" ht="18" customHeight="1">
      <c r="A2" s="46" t="inlineStr">
        <is>
          <t>All amounts in Nigerian Naira (₦)  |  Generated: June 27, 2026</t>
        </is>
      </c>
    </row>
    <row r="3" ht="26" customHeight="1">
      <c r="A3" s="65" t="inlineStr">
        <is>
          <t>Balance B/F (after event expenses)</t>
        </is>
      </c>
      <c r="B3" s="106" t="n"/>
      <c r="C3" s="105" t="n"/>
      <c r="D3" s="68" t="n">
        <v>986600</v>
      </c>
      <c r="E3" s="67" t="n"/>
    </row>
    <row r="4" ht="26" customHeight="1">
      <c r="A4" s="26" t="inlineStr">
        <is>
          <t>#</t>
        </is>
      </c>
      <c r="B4" s="26" t="inlineStr">
        <is>
          <t>Name / Source</t>
        </is>
      </c>
      <c r="C4" s="26" t="inlineStr">
        <is>
          <t>Amount (₦)</t>
        </is>
      </c>
      <c r="D4" s="26" t="inlineStr">
        <is>
          <t>Status</t>
        </is>
      </c>
      <c r="E4" s="26" t="inlineStr">
        <is>
          <t>Notes</t>
        </is>
      </c>
    </row>
    <row r="5" ht="20" customHeight="1">
      <c r="A5" s="53" t="n">
        <v>1</v>
      </c>
      <c r="B5" s="54" t="inlineStr">
        <is>
          <t>Nkechi Umunakwe</t>
        </is>
      </c>
      <c r="C5" s="55" t="n">
        <v>150000</v>
      </c>
      <c r="D5" s="69" t="inlineStr">
        <is>
          <t>Received</t>
        </is>
      </c>
      <c r="E5" s="54" t="inlineStr">
        <is>
          <t>Received</t>
        </is>
      </c>
    </row>
    <row r="6" ht="20" customHeight="1">
      <c r="A6" s="48" t="n">
        <v>2</v>
      </c>
      <c r="B6" s="49" t="inlineStr">
        <is>
          <t>Casmir Chimankpam Ebelleme</t>
        </is>
      </c>
      <c r="C6" s="50" t="n">
        <v>20000</v>
      </c>
      <c r="D6" s="70" t="inlineStr">
        <is>
          <t>Received</t>
        </is>
      </c>
      <c r="E6" s="49" t="inlineStr">
        <is>
          <t>Received</t>
        </is>
      </c>
    </row>
    <row r="7" ht="20" customHeight="1">
      <c r="A7" s="53" t="n">
        <v>3</v>
      </c>
      <c r="B7" s="54" t="inlineStr">
        <is>
          <t>Max</t>
        </is>
      </c>
      <c r="C7" s="55" t="n">
        <v>100000</v>
      </c>
      <c r="D7" s="69" t="inlineStr">
        <is>
          <t>Received</t>
        </is>
      </c>
      <c r="E7" s="54" t="inlineStr">
        <is>
          <t>Received</t>
        </is>
      </c>
    </row>
    <row r="8" ht="20" customHeight="1">
      <c r="A8" s="48" t="n">
        <v>4</v>
      </c>
      <c r="B8" s="49" t="inlineStr">
        <is>
          <t>Prof BEB Nwoke</t>
        </is>
      </c>
      <c r="C8" s="50" t="n">
        <v>100000</v>
      </c>
      <c r="D8" s="70" t="inlineStr">
        <is>
          <t>Received</t>
        </is>
      </c>
      <c r="E8" s="49" t="inlineStr">
        <is>
          <t>Received</t>
        </is>
      </c>
    </row>
    <row r="9" ht="20" customHeight="1">
      <c r="A9" s="53" t="n">
        <v>5</v>
      </c>
      <c r="B9" s="54" t="inlineStr">
        <is>
          <t>Benedict</t>
        </is>
      </c>
      <c r="C9" s="55" t="n">
        <v>1000000</v>
      </c>
      <c r="D9" s="69" t="inlineStr">
        <is>
          <t>Received</t>
        </is>
      </c>
      <c r="E9" s="54" t="inlineStr">
        <is>
          <t>Received</t>
        </is>
      </c>
    </row>
    <row r="10" ht="20" customHeight="1">
      <c r="A10" s="48" t="n">
        <v>6</v>
      </c>
      <c r="B10" s="49" t="inlineStr">
        <is>
          <t>Chibuzor</t>
        </is>
      </c>
      <c r="C10" s="50" t="n">
        <v>50000</v>
      </c>
      <c r="D10" s="70" t="inlineStr">
        <is>
          <t>Received</t>
        </is>
      </c>
      <c r="E10" s="49" t="inlineStr">
        <is>
          <t>Cash Collected</t>
        </is>
      </c>
    </row>
    <row r="11" ht="20" customHeight="1">
      <c r="A11" s="53" t="n">
        <v>7</v>
      </c>
      <c r="B11" s="54" t="inlineStr">
        <is>
          <t>Odoh Chike Nnaemeka</t>
        </is>
      </c>
      <c r="C11" s="55" t="n">
        <v>100000</v>
      </c>
      <c r="D11" s="69" t="inlineStr">
        <is>
          <t>Received</t>
        </is>
      </c>
      <c r="E11" s="54" t="inlineStr">
        <is>
          <t>Refund – Meat Purchase</t>
        </is>
      </c>
    </row>
    <row r="12" ht="20" customHeight="1">
      <c r="A12" s="48" t="n">
        <v>8</v>
      </c>
      <c r="B12" s="49" t="inlineStr">
        <is>
          <t>Odoh Chike Nnaemeka</t>
        </is>
      </c>
      <c r="C12" s="50" t="n">
        <v>21000</v>
      </c>
      <c r="D12" s="70" t="inlineStr">
        <is>
          <t>Received</t>
        </is>
      </c>
      <c r="E12" s="49" t="inlineStr">
        <is>
          <t>Refund – 3 T-Shirts Not Bought</t>
        </is>
      </c>
    </row>
    <row r="13" ht="20" customHeight="1">
      <c r="A13" s="53" t="n">
        <v>9</v>
      </c>
      <c r="B13" s="54" t="inlineStr">
        <is>
          <t>Cash – Day of Event</t>
        </is>
      </c>
      <c r="C13" s="55" t="n">
        <v>153000</v>
      </c>
      <c r="D13" s="69" t="inlineStr">
        <is>
          <t>Received</t>
        </is>
      </c>
      <c r="E13" s="54" t="inlineStr">
        <is>
          <t>Received</t>
        </is>
      </c>
    </row>
    <row r="14" ht="20" customHeight="1">
      <c r="A14" s="48" t="n">
        <v>10</v>
      </c>
      <c r="B14" s="49" t="inlineStr">
        <is>
          <t>Emma Obinikpa</t>
        </is>
      </c>
      <c r="C14" s="50" t="n">
        <v>100000</v>
      </c>
      <c r="D14" s="52" t="inlineStr">
        <is>
          <t>Paid</t>
        </is>
      </c>
      <c r="E14" s="49" t="inlineStr"/>
    </row>
    <row r="15" ht="20" customHeight="1">
      <c r="A15" s="53" t="n">
        <v>11</v>
      </c>
      <c r="B15" s="54" t="inlineStr">
        <is>
          <t>Odoh Chike Nnamdi</t>
        </is>
      </c>
      <c r="C15" s="55" t="n">
        <v>500000</v>
      </c>
      <c r="D15" s="57" t="inlineStr">
        <is>
          <t>Paid</t>
        </is>
      </c>
      <c r="E15" s="54" t="inlineStr"/>
    </row>
    <row r="16" ht="20" customHeight="1">
      <c r="A16" s="48" t="n">
        <v>12</v>
      </c>
      <c r="B16" s="49" t="inlineStr">
        <is>
          <t>Mrs Pearl Kanu</t>
        </is>
      </c>
      <c r="C16" s="50" t="n">
        <v>200000</v>
      </c>
      <c r="D16" s="52" t="inlineStr">
        <is>
          <t>Paid</t>
        </is>
      </c>
      <c r="E16" s="49" t="inlineStr"/>
    </row>
    <row r="17" ht="20" customHeight="1">
      <c r="A17" s="53" t="n">
        <v>13</v>
      </c>
      <c r="B17" s="54" t="inlineStr">
        <is>
          <t>Mrs Ibekwe</t>
        </is>
      </c>
      <c r="C17" s="55" t="n">
        <v>500000</v>
      </c>
      <c r="D17" s="57" t="inlineStr">
        <is>
          <t>Paid</t>
        </is>
      </c>
      <c r="E17" s="54" t="inlineStr"/>
    </row>
    <row r="18" ht="20" customHeight="1">
      <c r="A18" s="48" t="n">
        <v>14</v>
      </c>
      <c r="B18" s="49" t="inlineStr">
        <is>
          <t>Favour Njoku</t>
        </is>
      </c>
      <c r="C18" s="50" t="n">
        <v>100000</v>
      </c>
      <c r="D18" s="52" t="inlineStr">
        <is>
          <t>Paid</t>
        </is>
      </c>
      <c r="E18" s="49" t="inlineStr"/>
    </row>
    <row r="19" ht="20" customHeight="1">
      <c r="A19" s="53" t="n">
        <v>15</v>
      </c>
      <c r="B19" s="54" t="inlineStr">
        <is>
          <t>Ify Ohameje</t>
        </is>
      </c>
      <c r="C19" s="55" t="n">
        <v>200000</v>
      </c>
      <c r="D19" s="57" t="inlineStr">
        <is>
          <t>Paid</t>
        </is>
      </c>
      <c r="E19" s="54" t="inlineStr"/>
    </row>
    <row r="20" ht="20" customHeight="1">
      <c r="A20" s="48" t="n">
        <v>16</v>
      </c>
      <c r="B20" s="49" t="inlineStr">
        <is>
          <t>Dubem Nnayere Odoh</t>
        </is>
      </c>
      <c r="C20" s="50" t="n">
        <v>400000</v>
      </c>
      <c r="D20" s="52" t="inlineStr">
        <is>
          <t>Paid</t>
        </is>
      </c>
      <c r="E20" s="49" t="inlineStr">
        <is>
          <t>Bal ₦300k Outstanding</t>
        </is>
      </c>
    </row>
    <row r="21" ht="28" customHeight="1">
      <c r="A21" s="58" t="inlineStr">
        <is>
          <t>TOTAL GIFTS RECEIVED</t>
        </is>
      </c>
      <c r="B21" s="105" t="n"/>
      <c r="C21" s="59">
        <f>SUM(C5:C20)</f>
        <v/>
      </c>
      <c r="D21" s="61" t="n"/>
      <c r="E21" s="61" t="n"/>
    </row>
    <row r="22" ht="30" customHeight="1">
      <c r="A22" s="58" t="inlineStr">
        <is>
          <t>GRAND TOTAL  (B/F + Gifts)</t>
        </is>
      </c>
      <c r="B22" s="105" t="n"/>
      <c r="C22" s="71">
        <f>986600+C21</f>
        <v/>
      </c>
      <c r="D22" s="61" t="n"/>
      <c r="E22" s="61" t="n"/>
    </row>
  </sheetData>
  <mergeCells count="5">
    <mergeCell ref="A21:B21"/>
    <mergeCell ref="A2:E2"/>
    <mergeCell ref="A1:E1"/>
    <mergeCell ref="A3:C3"/>
    <mergeCell ref="A22:B2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E67E22"/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20" customWidth="1" min="3" max="3"/>
    <col width="18" customWidth="1" min="4" max="4"/>
    <col width="30" customWidth="1" min="5" max="5"/>
  </cols>
  <sheetData>
    <row r="1" ht="36" customHeight="1">
      <c r="A1" s="45" t="inlineStr">
        <is>
          <t>NDIJOB GLOBAL — POST-EVENT EXPENSES</t>
        </is>
      </c>
    </row>
    <row r="2" ht="18" customHeight="1">
      <c r="A2" s="46" t="inlineStr">
        <is>
          <t>Infrastructure &amp; operational expenditure  |  Generated: June 27, 2026</t>
        </is>
      </c>
    </row>
    <row r="3" ht="26" customHeight="1">
      <c r="A3" s="72" t="inlineStr">
        <is>
          <t>#</t>
        </is>
      </c>
      <c r="B3" s="72" t="inlineStr">
        <is>
          <t>Description</t>
        </is>
      </c>
      <c r="C3" s="72" t="inlineStr">
        <is>
          <t>Amount (₦)</t>
        </is>
      </c>
      <c r="D3" s="72" t="inlineStr">
        <is>
          <t>Status</t>
        </is>
      </c>
      <c r="E3" s="72" t="inlineStr">
        <is>
          <t>Notes</t>
        </is>
      </c>
    </row>
    <row r="4" ht="20" customHeight="1">
      <c r="A4" s="48" t="n">
        <v>1</v>
      </c>
      <c r="B4" s="49" t="inlineStr">
        <is>
          <t>Full Payment – Tank Stand</t>
        </is>
      </c>
      <c r="C4" s="50" t="n">
        <v>1921600</v>
      </c>
      <c r="D4" s="49" t="inlineStr"/>
      <c r="E4" s="49" t="inlineStr"/>
    </row>
    <row r="5" ht="20" customHeight="1">
      <c r="A5" s="53" t="n">
        <v>2</v>
      </c>
      <c r="B5" s="54" t="inlineStr">
        <is>
          <t>Cutting of Grass</t>
        </is>
      </c>
      <c r="C5" s="55" t="n">
        <v>20000</v>
      </c>
      <c r="D5" s="54" t="inlineStr"/>
      <c r="E5" s="54" t="inlineStr"/>
    </row>
    <row r="6" ht="20" customHeight="1">
      <c r="A6" s="48" t="n">
        <v>3</v>
      </c>
      <c r="B6" s="49" t="inlineStr">
        <is>
          <t>First Instalment – Borehole</t>
        </is>
      </c>
      <c r="C6" s="50" t="n">
        <v>2759500</v>
      </c>
      <c r="D6" s="49" t="inlineStr"/>
      <c r="E6" s="49" t="inlineStr"/>
    </row>
    <row r="7" ht="28" customHeight="1">
      <c r="A7" s="58" t="inlineStr">
        <is>
          <t>TOTAL POST-EVENT EXPENSES</t>
        </is>
      </c>
      <c r="B7" s="105" t="n"/>
      <c r="C7" s="60">
        <f>SUM(C4:C6)</f>
        <v/>
      </c>
      <c r="D7" s="61" t="n"/>
      <c r="E7" s="61" t="n"/>
    </row>
  </sheetData>
  <mergeCells count="3">
    <mergeCell ref="A2:E2"/>
    <mergeCell ref="A1:E1"/>
    <mergeCell ref="A7:B7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48F77"/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22" customWidth="1" min="3" max="3"/>
    <col width="24" customWidth="1" min="4" max="4"/>
  </cols>
  <sheetData>
    <row r="1" ht="36" customHeight="1">
      <c r="A1" s="45" t="inlineStr">
        <is>
          <t>NDIJOB GLOBAL — RUNNING FINANCIAL STATEMENT</t>
        </is>
      </c>
    </row>
    <row r="2" ht="18" customHeight="1">
      <c r="A2" s="46" t="inlineStr">
        <is>
          <t>As at June 27, 2026</t>
        </is>
      </c>
    </row>
    <row r="3" ht="26" customHeight="1">
      <c r="A3" s="73" t="inlineStr">
        <is>
          <t>Item</t>
        </is>
      </c>
      <c r="B3" s="105" t="n"/>
      <c r="C3" s="74" t="inlineStr">
        <is>
          <t>Amount (₦)</t>
        </is>
      </c>
      <c r="D3" s="74" t="inlineStr">
        <is>
          <t>Running Balance (₦)</t>
        </is>
      </c>
    </row>
    <row r="4" ht="26" customHeight="1">
      <c r="A4" s="75" t="inlineStr">
        <is>
          <t>A.  OPENING — JOB FAMILY CONTRIBUTIONS</t>
        </is>
      </c>
      <c r="B4" s="106" t="n"/>
      <c r="C4" s="106" t="n"/>
      <c r="D4" s="105" t="n"/>
    </row>
    <row r="5" ht="20" customHeight="1">
      <c r="A5" s="76" t="inlineStr">
        <is>
          <t xml:space="preserve">    Money deposited in account</t>
        </is>
      </c>
      <c r="B5" s="104" t="n"/>
      <c r="C5" s="77" t="n">
        <v>2950000</v>
      </c>
      <c r="D5" s="78" t="n">
        <v>2950000</v>
      </c>
    </row>
    <row r="6" ht="8" customHeight="1">
      <c r="A6" s="79" t="n"/>
      <c r="B6" s="79" t="n"/>
      <c r="C6" s="79" t="n"/>
      <c r="D6" s="79" t="n"/>
    </row>
    <row r="7" ht="26" customHeight="1">
      <c r="A7" s="80" t="inlineStr">
        <is>
          <t>B.  EVENT EXPENSES</t>
        </is>
      </c>
      <c r="B7" s="106" t="n"/>
      <c r="C7" s="106" t="n"/>
      <c r="D7" s="105" t="n"/>
    </row>
    <row r="8" ht="20" customHeight="1">
      <c r="A8" s="76" t="inlineStr">
        <is>
          <t xml:space="preserve">      1. DJ</t>
        </is>
      </c>
      <c r="B8" s="104" t="n"/>
      <c r="C8" s="77" t="n">
        <v>120000</v>
      </c>
      <c r="D8" s="81" t="n"/>
    </row>
    <row r="9" ht="20" customHeight="1">
      <c r="A9" s="76" t="inlineStr">
        <is>
          <t xml:space="preserve">      2. Advert</t>
        </is>
      </c>
      <c r="B9" s="104" t="n"/>
      <c r="C9" s="77" t="n">
        <v>120000</v>
      </c>
      <c r="D9" s="81" t="n"/>
    </row>
    <row r="10" ht="20" customHeight="1">
      <c r="A10" s="76" t="inlineStr">
        <is>
          <t xml:space="preserve">      3. Caterer</t>
        </is>
      </c>
      <c r="B10" s="104" t="n"/>
      <c r="C10" s="77" t="n">
        <v>430000</v>
      </c>
      <c r="D10" s="81" t="n"/>
    </row>
    <row r="11" ht="20" customHeight="1">
      <c r="A11" s="76" t="inlineStr">
        <is>
          <t xml:space="preserve">      4. Canopies, Tables &amp; Chairs</t>
        </is>
      </c>
      <c r="B11" s="104" t="n"/>
      <c r="C11" s="77" t="n">
        <v>150000</v>
      </c>
      <c r="D11" s="81" t="n"/>
    </row>
    <row r="12" ht="20" customHeight="1">
      <c r="A12" s="76" t="inlineStr">
        <is>
          <t xml:space="preserve">      5. Registration of Name</t>
        </is>
      </c>
      <c r="B12" s="104" t="n"/>
      <c r="C12" s="77" t="n">
        <v>42000</v>
      </c>
      <c r="D12" s="81" t="n"/>
    </row>
    <row r="13" ht="20" customHeight="1">
      <c r="A13" s="76" t="inlineStr">
        <is>
          <t xml:space="preserve">      6. Decorations</t>
        </is>
      </c>
      <c r="B13" s="104" t="n"/>
      <c r="C13" s="77" t="n">
        <v>110000</v>
      </c>
      <c r="D13" s="81" t="n"/>
    </row>
    <row r="14" ht="20" customHeight="1">
      <c r="A14" s="76" t="inlineStr">
        <is>
          <t xml:space="preserve">      7. Drinks / Water</t>
        </is>
      </c>
      <c r="B14" s="104" t="n"/>
      <c r="C14" s="77" t="n">
        <v>348400</v>
      </c>
      <c r="D14" s="81" t="n"/>
    </row>
    <row r="15" ht="20" customHeight="1">
      <c r="A15" s="76" t="inlineStr">
        <is>
          <t xml:space="preserve">      8. XXXXLT-Shirts</t>
        </is>
      </c>
      <c r="B15" s="104" t="n"/>
      <c r="C15" s="77" t="n">
        <v>48000</v>
      </c>
      <c r="D15" s="81" t="n"/>
    </row>
    <row r="16" ht="20" customHeight="1">
      <c r="A16" s="76" t="inlineStr">
        <is>
          <t xml:space="preserve">      9. Meat / Garden Egg / Kolanut</t>
        </is>
      </c>
      <c r="B16" s="104" t="n"/>
      <c r="C16" s="77" t="n">
        <v>525000</v>
      </c>
      <c r="D16" s="81" t="n"/>
    </row>
    <row r="17" ht="20" customHeight="1">
      <c r="A17" s="76" t="inlineStr">
        <is>
          <t xml:space="preserve">      10. Firewood</t>
        </is>
      </c>
      <c r="B17" s="104" t="n"/>
      <c r="C17" s="77" t="n">
        <v>30000</v>
      </c>
      <c r="D17" s="81" t="n"/>
    </row>
    <row r="18" ht="20" customHeight="1">
      <c r="A18" s="76" t="inlineStr">
        <is>
          <t xml:space="preserve">      11. MC</t>
        </is>
      </c>
      <c r="B18" s="104" t="n"/>
      <c r="C18" s="77" t="n">
        <v>130000</v>
      </c>
      <c r="D18" s="81" t="n"/>
    </row>
    <row r="19" ht="20" customHeight="1">
      <c r="A19" s="76" t="inlineStr">
        <is>
          <t xml:space="preserve">      12. Ice Block</t>
        </is>
      </c>
      <c r="B19" s="104" t="n"/>
      <c r="C19" s="77" t="n">
        <v>12000</v>
      </c>
      <c r="D19" s="81" t="n"/>
    </row>
    <row r="20" ht="20" customHeight="1">
      <c r="A20" s="76" t="inlineStr">
        <is>
          <t xml:space="preserve">      13. Shehu (Cash)</t>
        </is>
      </c>
      <c r="B20" s="104" t="n"/>
      <c r="C20" s="77" t="n">
        <v>8000</v>
      </c>
      <c r="D20" s="81" t="n"/>
    </row>
    <row r="21" ht="24" customHeight="1">
      <c r="A21" s="82" t="inlineStr">
        <is>
          <t>TOTAL EVENT EXPENSES</t>
        </is>
      </c>
      <c r="B21" s="104" t="n"/>
      <c r="C21" s="83">
        <f>SUM(C8:C20)</f>
        <v/>
      </c>
      <c r="D21" s="84">
        <f>2950000-C21</f>
        <v/>
      </c>
    </row>
    <row r="22" ht="20" customHeight="1">
      <c r="A22" s="85" t="inlineStr">
        <is>
          <t xml:space="preserve">  ★  Stated balance after event expenses: ₦986,600</t>
        </is>
      </c>
      <c r="B22" s="103" t="n"/>
      <c r="C22" s="103" t="n"/>
      <c r="D22" s="104" t="n"/>
    </row>
    <row r="23" ht="8" customHeight="1">
      <c r="A23" s="79" t="n"/>
      <c r="B23" s="79" t="n"/>
      <c r="C23" s="79" t="n"/>
      <c r="D23" s="79" t="n"/>
    </row>
    <row r="24" ht="26" customHeight="1">
      <c r="A24" s="86" t="inlineStr">
        <is>
          <t>C.  GIFTS FROM INVITEES</t>
        </is>
      </c>
      <c r="B24" s="106" t="n"/>
      <c r="C24" s="106" t="n"/>
      <c r="D24" s="105" t="n"/>
    </row>
    <row r="25" ht="20" customHeight="1">
      <c r="A25" s="76" t="inlineStr">
        <is>
          <t xml:space="preserve">      1. Nkechi Umunakwe</t>
        </is>
      </c>
      <c r="B25" s="104" t="n"/>
      <c r="C25" s="77" t="n">
        <v>150000</v>
      </c>
      <c r="D25" s="81" t="n"/>
    </row>
    <row r="26" ht="20" customHeight="1">
      <c r="A26" s="76" t="inlineStr">
        <is>
          <t xml:space="preserve">      2. Casmir Chimankpam Ebelleme</t>
        </is>
      </c>
      <c r="B26" s="104" t="n"/>
      <c r="C26" s="77" t="n">
        <v>20000</v>
      </c>
      <c r="D26" s="81" t="n"/>
    </row>
    <row r="27" ht="20" customHeight="1">
      <c r="A27" s="76" t="inlineStr">
        <is>
          <t xml:space="preserve">      3. Max</t>
        </is>
      </c>
      <c r="B27" s="104" t="n"/>
      <c r="C27" s="77" t="n">
        <v>100000</v>
      </c>
      <c r="D27" s="81" t="n"/>
    </row>
    <row r="28" ht="20" customHeight="1">
      <c r="A28" s="76" t="inlineStr">
        <is>
          <t xml:space="preserve">      4. Prof BEB Nwoke</t>
        </is>
      </c>
      <c r="B28" s="104" t="n"/>
      <c r="C28" s="77" t="n">
        <v>100000</v>
      </c>
      <c r="D28" s="81" t="n"/>
    </row>
    <row r="29" ht="20" customHeight="1">
      <c r="A29" s="76" t="inlineStr">
        <is>
          <t xml:space="preserve">      5. Benedict</t>
        </is>
      </c>
      <c r="B29" s="104" t="n"/>
      <c r="C29" s="77" t="n">
        <v>1000000</v>
      </c>
      <c r="D29" s="81" t="n"/>
    </row>
    <row r="30" ht="20" customHeight="1">
      <c r="A30" s="76" t="inlineStr">
        <is>
          <t xml:space="preserve">      6. Chibuzor</t>
        </is>
      </c>
      <c r="B30" s="104" t="n"/>
      <c r="C30" s="77" t="n">
        <v>50000</v>
      </c>
      <c r="D30" s="81" t="n"/>
    </row>
    <row r="31" ht="20" customHeight="1">
      <c r="A31" s="76" t="inlineStr">
        <is>
          <t xml:space="preserve">      7. Odoh Chike Nnaemeka</t>
        </is>
      </c>
      <c r="B31" s="104" t="n"/>
      <c r="C31" s="77" t="n">
        <v>100000</v>
      </c>
      <c r="D31" s="81" t="n"/>
    </row>
    <row r="32" ht="20" customHeight="1">
      <c r="A32" s="76" t="inlineStr">
        <is>
          <t xml:space="preserve">      8. Odoh Chike Nnaemeka</t>
        </is>
      </c>
      <c r="B32" s="104" t="n"/>
      <c r="C32" s="77" t="n">
        <v>21000</v>
      </c>
      <c r="D32" s="81" t="n"/>
    </row>
    <row r="33" ht="20" customHeight="1">
      <c r="A33" s="76" t="inlineStr">
        <is>
          <t xml:space="preserve">      9. Cash – Day of Event</t>
        </is>
      </c>
      <c r="B33" s="104" t="n"/>
      <c r="C33" s="77" t="n">
        <v>153000</v>
      </c>
      <c r="D33" s="81" t="n"/>
    </row>
    <row r="34" ht="20" customHeight="1">
      <c r="A34" s="76" t="inlineStr">
        <is>
          <t xml:space="preserve">      10. Emma Obinikpa</t>
        </is>
      </c>
      <c r="B34" s="104" t="n"/>
      <c r="C34" s="77" t="n">
        <v>100000</v>
      </c>
      <c r="D34" s="81" t="n"/>
    </row>
    <row r="35" ht="20" customHeight="1">
      <c r="A35" s="76" t="inlineStr">
        <is>
          <t xml:space="preserve">      11. Odoh Chike Nnamdi</t>
        </is>
      </c>
      <c r="B35" s="104" t="n"/>
      <c r="C35" s="77" t="n">
        <v>500000</v>
      </c>
      <c r="D35" s="81" t="n"/>
    </row>
    <row r="36" ht="20" customHeight="1">
      <c r="A36" s="76" t="inlineStr">
        <is>
          <t xml:space="preserve">      12. Mrs Pearl Kanu</t>
        </is>
      </c>
      <c r="B36" s="104" t="n"/>
      <c r="C36" s="77" t="n">
        <v>200000</v>
      </c>
      <c r="D36" s="81" t="n"/>
    </row>
    <row r="37" ht="20" customHeight="1">
      <c r="A37" s="76" t="inlineStr">
        <is>
          <t xml:space="preserve">      13. Mrs Ibekwe</t>
        </is>
      </c>
      <c r="B37" s="104" t="n"/>
      <c r="C37" s="77" t="n">
        <v>500000</v>
      </c>
      <c r="D37" s="81" t="n"/>
    </row>
    <row r="38" ht="20" customHeight="1">
      <c r="A38" s="76" t="inlineStr">
        <is>
          <t xml:space="preserve">      14. Favour Njoku</t>
        </is>
      </c>
      <c r="B38" s="104" t="n"/>
      <c r="C38" s="77" t="n">
        <v>100000</v>
      </c>
      <c r="D38" s="81" t="n"/>
    </row>
    <row r="39" ht="20" customHeight="1">
      <c r="A39" s="76" t="inlineStr">
        <is>
          <t xml:space="preserve">      15. Ify Ohameje</t>
        </is>
      </c>
      <c r="B39" s="104" t="n"/>
      <c r="C39" s="77" t="n">
        <v>200000</v>
      </c>
      <c r="D39" s="81" t="n"/>
    </row>
    <row r="40" ht="20" customHeight="1">
      <c r="A40" s="76" t="inlineStr">
        <is>
          <t xml:space="preserve">      16. Dubem Nnayere Odoh</t>
        </is>
      </c>
      <c r="B40" s="104" t="n"/>
      <c r="C40" s="77" t="n">
        <v>400000</v>
      </c>
      <c r="D40" s="81" t="n"/>
    </row>
    <row r="41" ht="24" customHeight="1">
      <c r="A41" s="87" t="inlineStr">
        <is>
          <t>TOTAL GIFTS RECEIVED</t>
        </is>
      </c>
      <c r="B41" s="104" t="n"/>
      <c r="C41" s="88">
        <f>SUM(C25:C40)</f>
        <v/>
      </c>
      <c r="D41" s="89">
        <f>986600+C41</f>
        <v/>
      </c>
    </row>
    <row r="42" ht="30" customHeight="1">
      <c r="A42" s="90" t="inlineStr">
        <is>
          <t>GROSS TOTAL AVAILABLE  (29/12/2025)</t>
        </is>
      </c>
      <c r="B42" s="105" t="n"/>
      <c r="C42" s="61" t="n"/>
      <c r="D42" s="91">
        <f>D41</f>
        <v/>
      </c>
    </row>
    <row r="43" ht="8" customHeight="1">
      <c r="A43" s="79" t="n"/>
      <c r="B43" s="79" t="n"/>
      <c r="C43" s="79" t="n"/>
      <c r="D43" s="79" t="n"/>
    </row>
    <row r="44" ht="26" customHeight="1">
      <c r="A44" s="92" t="inlineStr">
        <is>
          <t>D.  POST-EVENT EXPENSES</t>
        </is>
      </c>
      <c r="B44" s="106" t="n"/>
      <c r="C44" s="106" t="n"/>
      <c r="D44" s="105" t="n"/>
    </row>
    <row r="45" ht="20" customHeight="1">
      <c r="A45" s="76" t="inlineStr">
        <is>
          <t xml:space="preserve">      1. Full Payment – Tank Stand</t>
        </is>
      </c>
      <c r="B45" s="104" t="n"/>
      <c r="C45" s="77" t="n">
        <v>1921600</v>
      </c>
      <c r="D45" s="81" t="n"/>
    </row>
    <row r="46" ht="20" customHeight="1">
      <c r="A46" s="76" t="inlineStr">
        <is>
          <t xml:space="preserve">      2. Cutting of Grass</t>
        </is>
      </c>
      <c r="B46" s="104" t="n"/>
      <c r="C46" s="77" t="n">
        <v>20000</v>
      </c>
      <c r="D46" s="81" t="n"/>
    </row>
    <row r="47" ht="20" customHeight="1">
      <c r="A47" s="76" t="inlineStr">
        <is>
          <t xml:space="preserve">      3. First Instalment – Borehole</t>
        </is>
      </c>
      <c r="B47" s="104" t="n"/>
      <c r="C47" s="77" t="n">
        <v>2759500</v>
      </c>
      <c r="D47" s="81" t="n"/>
    </row>
    <row r="48" ht="24" customHeight="1">
      <c r="A48" s="93" t="inlineStr">
        <is>
          <t>TOTAL POST-EVENT EXPENSES</t>
        </is>
      </c>
      <c r="B48" s="104" t="n"/>
      <c r="C48" s="94">
        <f>SUM(C45:C47)</f>
        <v/>
      </c>
      <c r="D48" s="95" t="n"/>
    </row>
    <row r="49" ht="8" customHeight="1">
      <c r="A49" s="79" t="n"/>
      <c r="B49" s="79" t="n"/>
      <c r="C49" s="79" t="n"/>
      <c r="D49" s="79" t="n"/>
    </row>
    <row r="50" ht="36" customHeight="1">
      <c r="A50" s="96" t="inlineStr">
        <is>
          <t>★  NET FINAL BALANCE</t>
        </is>
      </c>
      <c r="B50" s="105" t="n"/>
      <c r="C50" s="61" t="n"/>
      <c r="D50" s="97">
        <f>D42-C48</f>
        <v/>
      </c>
    </row>
    <row r="51" ht="20" customHeight="1">
      <c r="A51" s="98" t="inlineStr">
        <is>
          <t xml:space="preserve">  ★  Stated balance per records (27/06/2026): ₦2,181,100  |  Cash at hand 2026: ₦500,000  |  Grand total: ₦2,681,100</t>
        </is>
      </c>
      <c r="B51" s="103" t="n"/>
      <c r="C51" s="103" t="n"/>
      <c r="D51" s="104" t="n"/>
    </row>
  </sheetData>
  <mergeCells count="47">
    <mergeCell ref="A48:B48"/>
    <mergeCell ref="A30:B30"/>
    <mergeCell ref="A15:B15"/>
    <mergeCell ref="A22:D22"/>
    <mergeCell ref="A4:D4"/>
    <mergeCell ref="A11:B11"/>
    <mergeCell ref="A45:B45"/>
    <mergeCell ref="A36:B36"/>
    <mergeCell ref="A44:D44"/>
    <mergeCell ref="A16:B16"/>
    <mergeCell ref="A25:B25"/>
    <mergeCell ref="A41:B41"/>
    <mergeCell ref="A37:B37"/>
    <mergeCell ref="A46:B46"/>
    <mergeCell ref="A24:D24"/>
    <mergeCell ref="A51:D51"/>
    <mergeCell ref="A18:B18"/>
    <mergeCell ref="A27:B27"/>
    <mergeCell ref="A3:B3"/>
    <mergeCell ref="A12:B12"/>
    <mergeCell ref="A50:B50"/>
    <mergeCell ref="A1:D1"/>
    <mergeCell ref="A26:B26"/>
    <mergeCell ref="A21:B21"/>
    <mergeCell ref="A33:B33"/>
    <mergeCell ref="A47:B47"/>
    <mergeCell ref="A5:B5"/>
    <mergeCell ref="A42:B42"/>
    <mergeCell ref="A32:B32"/>
    <mergeCell ref="A7:D7"/>
    <mergeCell ref="A14:B14"/>
    <mergeCell ref="A17:B17"/>
    <mergeCell ref="A8:B8"/>
    <mergeCell ref="A35:B35"/>
    <mergeCell ref="A20:B20"/>
    <mergeCell ref="A38:B38"/>
    <mergeCell ref="A29:B29"/>
    <mergeCell ref="A19:B19"/>
    <mergeCell ref="A10:B10"/>
    <mergeCell ref="A28:B28"/>
    <mergeCell ref="A13:B13"/>
    <mergeCell ref="A2:D2"/>
    <mergeCell ref="A40:B40"/>
    <mergeCell ref="A9:B9"/>
    <mergeCell ref="A31:B31"/>
    <mergeCell ref="A39:B39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2026-06-13T13:21:57Z</dcterms:created>
  <dcterms:modified xmlns:dcterms="http://purl.org/dc/terms/" xmlns:xsi="http://www.w3.org/2001/XMLSchema-instance" xsi:type="dcterms:W3CDTF">2026-06-27T13:30:52Z</dcterms:modified>
</cp:coreProperties>
</file>